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N6" i="1"/>
  <c r="N7"/>
  <c r="N8"/>
  <c r="N9"/>
  <c r="N10"/>
  <c r="N11"/>
  <c r="N12"/>
  <c r="N13"/>
  <c r="N14"/>
  <c r="N15"/>
  <c r="N16"/>
  <c r="N17"/>
  <c r="N18"/>
  <c r="N19"/>
  <c r="N5"/>
  <c r="W3" i="3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2"/>
  <c r="T29"/>
  <c r="U29" s="1"/>
  <c r="T28"/>
  <c r="U28" s="1"/>
  <c r="T27"/>
  <c r="U27" s="1"/>
  <c r="T26"/>
  <c r="U26" s="1"/>
  <c r="T25"/>
  <c r="U25" s="1"/>
  <c r="T24"/>
  <c r="U24" s="1"/>
  <c r="T23"/>
  <c r="U23" s="1"/>
  <c r="T22"/>
  <c r="U22" s="1"/>
  <c r="T21"/>
  <c r="U21" s="1"/>
  <c r="T20"/>
  <c r="U20" s="1"/>
  <c r="T19"/>
  <c r="U19" s="1"/>
  <c r="T18"/>
  <c r="U18" s="1"/>
  <c r="T17"/>
  <c r="U17" s="1"/>
  <c r="T16"/>
  <c r="U16" s="1"/>
  <c r="T15"/>
  <c r="U15" s="1"/>
  <c r="T14"/>
  <c r="U14" s="1"/>
  <c r="T13"/>
  <c r="U13" s="1"/>
  <c r="T12"/>
  <c r="U12" s="1"/>
  <c r="T11"/>
  <c r="U11" s="1"/>
  <c r="T10"/>
  <c r="U10" s="1"/>
  <c r="T9"/>
  <c r="U9" s="1"/>
  <c r="T8"/>
  <c r="U8" s="1"/>
  <c r="T7"/>
  <c r="U7" s="1"/>
  <c r="T6"/>
  <c r="U6" s="1"/>
  <c r="T5"/>
  <c r="U5" s="1"/>
  <c r="T4"/>
  <c r="U4" s="1"/>
  <c r="T3"/>
  <c r="U3" s="1"/>
  <c r="T2"/>
  <c r="U2" s="1"/>
  <c r="V2" l="1"/>
  <c r="V10"/>
  <c r="V18"/>
  <c r="V26"/>
  <c r="V3"/>
  <c r="V11"/>
  <c r="V19"/>
  <c r="V23"/>
  <c r="V4"/>
  <c r="V8"/>
  <c r="V12"/>
  <c r="V16"/>
  <c r="V20"/>
  <c r="V24"/>
  <c r="V28"/>
  <c r="V6"/>
  <c r="V14"/>
  <c r="V22"/>
  <c r="V7"/>
  <c r="V15"/>
  <c r="V27"/>
  <c r="V5"/>
  <c r="V9"/>
  <c r="V13"/>
  <c r="V17"/>
  <c r="V21"/>
  <c r="V25"/>
  <c r="V29"/>
</calcChain>
</file>

<file path=xl/sharedStrings.xml><?xml version="1.0" encoding="utf-8"?>
<sst xmlns="http://schemas.openxmlformats.org/spreadsheetml/2006/main" count="282" uniqueCount="90">
  <si>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</si>
  <si>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</si>
  <si>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</si>
  <si>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</si>
  <si>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</si>
  <si>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</si>
  <si>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</si>
  <si>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</si>
  <si>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</si>
  <si>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</si>
  <si>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</si>
  <si>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</si>
  <si>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</si>
  <si>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</si>
  <si>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</si>
  <si>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</si>
  <si>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</si>
  <si>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</si>
  <si>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</si>
  <si>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</si>
  <si>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</si>
  <si>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</si>
  <si>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Channa</t>
  </si>
  <si>
    <t>Abdul Sami</t>
  </si>
  <si>
    <t>Chachar</t>
  </si>
  <si>
    <t>Kalwar</t>
  </si>
  <si>
    <t>Muhammad Pannah</t>
  </si>
  <si>
    <t>SCIENCE</t>
  </si>
  <si>
    <t>S.STUDY</t>
  </si>
  <si>
    <t>Asad Ali</t>
  </si>
  <si>
    <t>Abdul Latif</t>
  </si>
  <si>
    <t>Shah</t>
  </si>
  <si>
    <t>Farhan Ali</t>
  </si>
  <si>
    <t xml:space="preserve">Ghulam Shabeer </t>
  </si>
  <si>
    <t>Naseer Ahmed</t>
  </si>
  <si>
    <t>Hassan Ali</t>
  </si>
  <si>
    <t>Rabnawaz</t>
  </si>
  <si>
    <t>Muhammad Ahmed</t>
  </si>
  <si>
    <t>Muhammad Shafique</t>
  </si>
  <si>
    <t>Arain</t>
  </si>
  <si>
    <t>Muhammad Sahil</t>
  </si>
  <si>
    <t>Mushtaque Ahmed</t>
  </si>
  <si>
    <t>Malik</t>
  </si>
  <si>
    <t>Muhammad Umair</t>
  </si>
  <si>
    <t>Irshad Ali</t>
  </si>
  <si>
    <t>Muhammad Awais</t>
  </si>
  <si>
    <t>Muhammad Asghar</t>
  </si>
  <si>
    <t>Muzamil Hussain</t>
  </si>
  <si>
    <t>Assadullah</t>
  </si>
  <si>
    <t>Abro</t>
  </si>
  <si>
    <t>Kamran Ali</t>
  </si>
  <si>
    <t>Saleemullah</t>
  </si>
  <si>
    <t>Sanaullah</t>
  </si>
  <si>
    <t>Wasif Basheer</t>
  </si>
  <si>
    <t>Basheer Ahmed</t>
  </si>
  <si>
    <t>Amir Sohail</t>
  </si>
  <si>
    <t>Haji</t>
  </si>
  <si>
    <t>Gadani</t>
  </si>
  <si>
    <t>Akhtiar Khatoon</t>
  </si>
  <si>
    <t xml:space="preserve">Jan Muhammad </t>
  </si>
  <si>
    <t>Farhat Nisa</t>
  </si>
  <si>
    <t>Muhammad Shaban</t>
  </si>
  <si>
    <t>Fiza</t>
  </si>
  <si>
    <t>Allah Dino</t>
  </si>
  <si>
    <t>Mai Amna</t>
  </si>
  <si>
    <t>Hakim Ali</t>
  </si>
  <si>
    <t>Mai Tooba</t>
  </si>
  <si>
    <t>Bhagyal</t>
  </si>
  <si>
    <t>Abbasi</t>
  </si>
  <si>
    <t xml:space="preserve">Mehreen </t>
  </si>
  <si>
    <t>Samreen</t>
  </si>
  <si>
    <t>Sofia</t>
  </si>
  <si>
    <t>Manthar Ali</t>
  </si>
  <si>
    <t>Soohan</t>
  </si>
  <si>
    <t>Shakeel Ahmed</t>
  </si>
  <si>
    <t>Tabasum</t>
  </si>
  <si>
    <t>Tasleem</t>
  </si>
  <si>
    <t>Hajan Ali</t>
  </si>
  <si>
    <t>Iqra</t>
  </si>
  <si>
    <t>Manzoor Ahmed</t>
  </si>
  <si>
    <t>Yusra</t>
  </si>
  <si>
    <t>Ghulam Fatima</t>
  </si>
  <si>
    <t>Asadullah</t>
  </si>
  <si>
    <t>Tasmeena</t>
  </si>
  <si>
    <t>Qurban Ali</t>
  </si>
  <si>
    <t>CLASS: EIGHTH</t>
  </si>
  <si>
    <t>RANK</t>
  </si>
  <si>
    <t>A</t>
  </si>
  <si>
    <t>ANNUAL EXAMINATION 2025-2026</t>
  </si>
  <si>
    <t>Haji Gadani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</si>
</sst>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opLeftCell="A4" zoomScale="80" zoomScaleNormal="80" workbookViewId="0">
      <selection activeCell="R10" sqref="R10"/>
    </sheetView>
  </sheetViews>
  <sheetFormatPr defaultRowHeight="15"/>
  <cols>
    <col min="2" max="2" width="4.28515625" customWidth="1"/>
    <col min="3" max="3" width="4.85546875" customWidth="1"/>
    <col min="4" max="4" width="18.5703125" customWidth="1"/>
    <col min="5" max="5" width="17.85546875" customWidth="1"/>
    <col min="6" max="6" width="6.7109375" customWidth="1"/>
    <col min="7" max="14" width="4.7109375" customWidth="1"/>
    <col min="15" max="15" width="4.85546875" customWidth="1"/>
    <col min="16" max="17" width="4.7109375" customWidth="1"/>
    <col min="18" max="18" width="4.85546875" customWidth="1"/>
  </cols>
  <sheetData>
    <row r="1" spans="1:18" ht="21">
      <c r="B1" s="13" t="s">
        <v>19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21">
      <c r="B2" s="14" t="s">
        <v>88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0.25" customHeight="1">
      <c r="B3" s="6"/>
      <c r="C3" s="6"/>
      <c r="D3" s="15" t="s">
        <v>85</v>
      </c>
      <c r="E3" s="15"/>
      <c r="F3" s="15"/>
      <c r="G3" s="15"/>
      <c r="H3" s="15"/>
      <c r="I3" s="15"/>
      <c r="J3" s="6"/>
      <c r="K3" s="6"/>
      <c r="L3" s="6"/>
      <c r="M3" s="6"/>
      <c r="N3" s="9"/>
      <c r="O3" s="9"/>
      <c r="P3" s="6"/>
      <c r="Q3" s="12"/>
      <c r="R3" s="6"/>
    </row>
    <row r="4" spans="1:18" ht="90" customHeight="1">
      <c r="A4" s="1"/>
      <c r="B4" s="8" t="s">
        <v>14</v>
      </c>
      <c r="C4" s="5" t="s">
        <v>15</v>
      </c>
      <c r="D4" s="3" t="s">
        <v>16</v>
      </c>
      <c r="E4" s="3" t="s">
        <v>17</v>
      </c>
      <c r="F4" s="3" t="s">
        <v>18</v>
      </c>
      <c r="G4" s="2" t="s">
        <v>0</v>
      </c>
      <c r="H4" s="2" t="s">
        <v>27</v>
      </c>
      <c r="I4" s="2" t="s">
        <v>2</v>
      </c>
      <c r="J4" s="2" t="s">
        <v>28</v>
      </c>
      <c r="K4" s="2" t="s">
        <v>1</v>
      </c>
      <c r="L4" s="2" t="s">
        <v>4</v>
      </c>
      <c r="M4" s="2" t="s">
        <v>3</v>
      </c>
      <c r="N4" s="2" t="s">
        <v>12</v>
      </c>
      <c r="O4" s="2" t="s">
        <v>20</v>
      </c>
      <c r="P4" s="2" t="s">
        <v>21</v>
      </c>
      <c r="Q4" s="2" t="s">
        <v>86</v>
      </c>
      <c r="R4" s="2" t="s">
        <v>13</v>
      </c>
    </row>
    <row r="5" spans="1:18" ht="21.95" customHeight="1">
      <c r="A5" s="1">
        <v>1587</v>
      </c>
      <c r="B5" s="7">
        <v>1</v>
      </c>
      <c r="C5" s="10">
        <v>801</v>
      </c>
      <c r="D5" s="11" t="s">
        <v>32</v>
      </c>
      <c r="E5" s="11" t="s">
        <v>30</v>
      </c>
      <c r="F5" s="11" t="s">
        <v>25</v>
      </c>
      <c r="G5" s="1">
        <v>34</v>
      </c>
      <c r="H5" s="1">
        <v>40</v>
      </c>
      <c r="I5" s="1">
        <v>33</v>
      </c>
      <c r="J5" s="1">
        <v>48</v>
      </c>
      <c r="K5" s="1">
        <v>34</v>
      </c>
      <c r="L5" s="1">
        <v>35</v>
      </c>
      <c r="M5" s="1">
        <v>55</v>
      </c>
      <c r="N5" s="1">
        <f>SUM(G5:M5)</f>
        <v>279</v>
      </c>
      <c r="O5" s="1"/>
      <c r="P5" s="1"/>
      <c r="Q5" s="1"/>
      <c r="R5" s="1"/>
    </row>
    <row r="6" spans="1:18" ht="21.95" customHeight="1">
      <c r="A6" s="1">
        <v>1595</v>
      </c>
      <c r="B6" s="7">
        <v>2</v>
      </c>
      <c r="C6" s="10">
        <v>802</v>
      </c>
      <c r="D6" s="11" t="s">
        <v>33</v>
      </c>
      <c r="E6" s="11" t="s">
        <v>34</v>
      </c>
      <c r="F6" s="11" t="s">
        <v>25</v>
      </c>
      <c r="G6" s="1">
        <v>36</v>
      </c>
      <c r="H6" s="1">
        <v>42</v>
      </c>
      <c r="I6" s="1">
        <v>37</v>
      </c>
      <c r="J6" s="1">
        <v>68</v>
      </c>
      <c r="K6" s="1">
        <v>39</v>
      </c>
      <c r="L6" s="1">
        <v>40</v>
      </c>
      <c r="M6" s="1">
        <v>45</v>
      </c>
      <c r="N6" s="1">
        <f>SUM(G6:M6)</f>
        <v>307</v>
      </c>
      <c r="O6" s="1"/>
      <c r="P6" s="1"/>
      <c r="Q6" s="1"/>
      <c r="R6" s="1"/>
    </row>
    <row r="7" spans="1:18" ht="21.95" customHeight="1">
      <c r="A7" s="1">
        <v>1583</v>
      </c>
      <c r="B7" s="7">
        <v>3</v>
      </c>
      <c r="C7" s="10">
        <v>803</v>
      </c>
      <c r="D7" s="11" t="s">
        <v>35</v>
      </c>
      <c r="E7" s="11" t="s">
        <v>36</v>
      </c>
      <c r="F7" s="11" t="s">
        <v>25</v>
      </c>
      <c r="G7" s="1">
        <v>39</v>
      </c>
      <c r="H7" s="1">
        <v>45</v>
      </c>
      <c r="I7" s="1">
        <v>36</v>
      </c>
      <c r="J7" s="1">
        <v>46</v>
      </c>
      <c r="K7" s="1">
        <v>44</v>
      </c>
      <c r="L7" s="1">
        <v>42</v>
      </c>
      <c r="M7" s="1">
        <v>50</v>
      </c>
      <c r="N7" s="1">
        <f>SUM(G7:M7)</f>
        <v>302</v>
      </c>
      <c r="O7" s="1"/>
      <c r="P7" s="1"/>
      <c r="Q7" s="1"/>
      <c r="R7" s="1"/>
    </row>
    <row r="8" spans="1:18" ht="21.95" customHeight="1">
      <c r="A8" s="1">
        <v>1894</v>
      </c>
      <c r="B8" s="7">
        <v>4</v>
      </c>
      <c r="C8" s="10">
        <v>804</v>
      </c>
      <c r="D8" s="11" t="s">
        <v>37</v>
      </c>
      <c r="E8" s="11" t="s">
        <v>38</v>
      </c>
      <c r="F8" s="11" t="s">
        <v>39</v>
      </c>
      <c r="G8" s="1">
        <v>67</v>
      </c>
      <c r="H8" s="1">
        <v>80</v>
      </c>
      <c r="I8" s="1">
        <v>78</v>
      </c>
      <c r="J8" s="1">
        <v>77</v>
      </c>
      <c r="K8" s="1">
        <v>83</v>
      </c>
      <c r="L8" s="1">
        <v>62</v>
      </c>
      <c r="M8" s="1">
        <v>60</v>
      </c>
      <c r="N8" s="1">
        <f>SUM(G8:M8)</f>
        <v>507</v>
      </c>
      <c r="O8" s="1"/>
      <c r="P8" s="1"/>
      <c r="Q8" s="1"/>
      <c r="R8" s="1"/>
    </row>
    <row r="9" spans="1:18" ht="21.95" customHeight="1">
      <c r="A9" s="1">
        <v>1610</v>
      </c>
      <c r="B9" s="7">
        <v>5</v>
      </c>
      <c r="C9" s="10">
        <v>805</v>
      </c>
      <c r="D9" s="11" t="s">
        <v>40</v>
      </c>
      <c r="E9" s="11" t="s">
        <v>41</v>
      </c>
      <c r="F9" s="11" t="s">
        <v>42</v>
      </c>
      <c r="G9" s="1">
        <v>35</v>
      </c>
      <c r="H9" s="1">
        <v>40</v>
      </c>
      <c r="I9" s="1">
        <v>49</v>
      </c>
      <c r="J9" s="1">
        <v>43</v>
      </c>
      <c r="K9" s="1">
        <v>40</v>
      </c>
      <c r="L9" s="1">
        <v>38</v>
      </c>
      <c r="M9" s="1">
        <v>55</v>
      </c>
      <c r="N9" s="1">
        <f>SUM(G9:M9)</f>
        <v>300</v>
      </c>
      <c r="O9" s="1"/>
      <c r="P9" s="1"/>
      <c r="Q9" s="1"/>
      <c r="R9" s="1"/>
    </row>
    <row r="10" spans="1:18" ht="21.95" customHeight="1">
      <c r="A10" s="1">
        <v>1573</v>
      </c>
      <c r="B10" s="7">
        <v>6</v>
      </c>
      <c r="C10" s="10">
        <v>806</v>
      </c>
      <c r="D10" s="11" t="s">
        <v>43</v>
      </c>
      <c r="E10" s="11" t="s">
        <v>44</v>
      </c>
      <c r="F10" s="11" t="s">
        <v>25</v>
      </c>
      <c r="G10" s="1">
        <v>36</v>
      </c>
      <c r="H10" s="1">
        <v>65</v>
      </c>
      <c r="I10" s="1">
        <v>61</v>
      </c>
      <c r="J10" s="1">
        <v>41</v>
      </c>
      <c r="K10" s="1">
        <v>37</v>
      </c>
      <c r="L10" s="1">
        <v>33</v>
      </c>
      <c r="M10" s="1">
        <v>50</v>
      </c>
      <c r="N10" s="1">
        <f>SUM(G10:M10)</f>
        <v>323</v>
      </c>
      <c r="O10" s="1"/>
      <c r="P10" s="1"/>
      <c r="Q10" s="1"/>
      <c r="R10" s="1"/>
    </row>
    <row r="11" spans="1:18" ht="21.95" customHeight="1">
      <c r="A11" s="1">
        <v>1605</v>
      </c>
      <c r="B11" s="7">
        <v>7</v>
      </c>
      <c r="C11" s="10">
        <v>807</v>
      </c>
      <c r="D11" s="11" t="s">
        <v>45</v>
      </c>
      <c r="E11" s="11" t="s">
        <v>46</v>
      </c>
      <c r="F11" s="11" t="s">
        <v>22</v>
      </c>
      <c r="G11" s="1">
        <v>42</v>
      </c>
      <c r="H11" s="1">
        <v>60</v>
      </c>
      <c r="I11" s="1">
        <v>40</v>
      </c>
      <c r="J11" s="1">
        <v>44</v>
      </c>
      <c r="K11" s="1">
        <v>61</v>
      </c>
      <c r="L11" s="1">
        <v>46</v>
      </c>
      <c r="M11" s="1">
        <v>67</v>
      </c>
      <c r="N11" s="1">
        <f>SUM(G11:M11)</f>
        <v>360</v>
      </c>
      <c r="O11" s="1"/>
      <c r="P11" s="1"/>
      <c r="Q11" s="1"/>
      <c r="R11" s="1"/>
    </row>
    <row r="12" spans="1:18" ht="21.95" customHeight="1">
      <c r="A12" s="1">
        <v>1711</v>
      </c>
      <c r="B12" s="7">
        <v>8</v>
      </c>
      <c r="C12" s="10">
        <v>808</v>
      </c>
      <c r="D12" s="11" t="s">
        <v>47</v>
      </c>
      <c r="E12" s="11" t="s">
        <v>48</v>
      </c>
      <c r="F12" s="11" t="s">
        <v>49</v>
      </c>
      <c r="G12" s="1">
        <v>37</v>
      </c>
      <c r="H12" s="1">
        <v>40</v>
      </c>
      <c r="I12" s="1">
        <v>35</v>
      </c>
      <c r="J12" s="1">
        <v>41</v>
      </c>
      <c r="K12" s="1">
        <v>55</v>
      </c>
      <c r="L12" s="1">
        <v>33</v>
      </c>
      <c r="M12" s="1">
        <v>50</v>
      </c>
      <c r="N12" s="1">
        <f>SUM(G12:M12)</f>
        <v>291</v>
      </c>
      <c r="O12" s="1"/>
      <c r="P12" s="1"/>
      <c r="Q12" s="1"/>
      <c r="R12" s="1"/>
    </row>
    <row r="13" spans="1:18" ht="21.95" customHeight="1">
      <c r="A13" s="1">
        <v>1670</v>
      </c>
      <c r="B13" s="7">
        <v>9</v>
      </c>
      <c r="C13" s="10">
        <v>809</v>
      </c>
      <c r="D13" s="11" t="s">
        <v>50</v>
      </c>
      <c r="E13" s="11" t="s">
        <v>23</v>
      </c>
      <c r="F13" s="11" t="s">
        <v>24</v>
      </c>
      <c r="G13" s="1">
        <v>34</v>
      </c>
      <c r="H13" s="1">
        <v>40</v>
      </c>
      <c r="I13" s="1">
        <v>36</v>
      </c>
      <c r="J13" s="1">
        <v>42</v>
      </c>
      <c r="K13" s="1">
        <v>33</v>
      </c>
      <c r="L13" s="1">
        <v>35</v>
      </c>
      <c r="M13" s="1">
        <v>56</v>
      </c>
      <c r="N13" s="1">
        <f>SUM(G13:M13)</f>
        <v>276</v>
      </c>
      <c r="O13" s="1"/>
      <c r="P13" s="1"/>
      <c r="Q13" s="1"/>
      <c r="R13" s="1"/>
    </row>
    <row r="14" spans="1:18" ht="21.95" customHeight="1">
      <c r="A14" s="1">
        <v>1564</v>
      </c>
      <c r="B14" s="7">
        <v>10</v>
      </c>
      <c r="C14" s="10">
        <v>810</v>
      </c>
      <c r="D14" s="11" t="s">
        <v>51</v>
      </c>
      <c r="E14" s="11" t="s">
        <v>52</v>
      </c>
      <c r="F14" s="11" t="s">
        <v>25</v>
      </c>
      <c r="G14" s="1"/>
      <c r="H14" s="1">
        <v>42</v>
      </c>
      <c r="I14" s="1">
        <v>35</v>
      </c>
      <c r="J14" s="1">
        <v>48</v>
      </c>
      <c r="K14" s="1">
        <v>35</v>
      </c>
      <c r="L14" s="1">
        <v>40</v>
      </c>
      <c r="M14" s="1">
        <v>50</v>
      </c>
      <c r="N14" s="1">
        <f>SUM(G14:M14)</f>
        <v>250</v>
      </c>
      <c r="O14" s="1"/>
      <c r="P14" s="1"/>
      <c r="Q14" s="1"/>
      <c r="R14" s="1"/>
    </row>
    <row r="15" spans="1:18" ht="21.95" customHeight="1">
      <c r="A15" s="1">
        <v>1613</v>
      </c>
      <c r="B15" s="7">
        <v>11</v>
      </c>
      <c r="C15" s="10">
        <v>811</v>
      </c>
      <c r="D15" s="11" t="s">
        <v>53</v>
      </c>
      <c r="E15" s="11" t="s">
        <v>54</v>
      </c>
      <c r="F15" s="11" t="s">
        <v>25</v>
      </c>
      <c r="G15" s="1">
        <v>54</v>
      </c>
      <c r="H15" s="1">
        <v>80</v>
      </c>
      <c r="I15" s="1">
        <v>80</v>
      </c>
      <c r="J15" s="1">
        <v>78</v>
      </c>
      <c r="K15" s="1">
        <v>56</v>
      </c>
      <c r="L15" s="1">
        <v>50</v>
      </c>
      <c r="M15" s="1">
        <v>90</v>
      </c>
      <c r="N15" s="1">
        <f>SUM(G15:M15)</f>
        <v>488</v>
      </c>
      <c r="O15" s="1"/>
      <c r="P15" s="1"/>
      <c r="Q15" s="1"/>
      <c r="R15" s="1"/>
    </row>
    <row r="16" spans="1:18" ht="21.95" customHeight="1">
      <c r="A16" s="1">
        <v>1930</v>
      </c>
      <c r="B16" s="7">
        <v>12</v>
      </c>
      <c r="C16" s="10">
        <v>812</v>
      </c>
      <c r="D16" s="11" t="s">
        <v>55</v>
      </c>
      <c r="E16" s="11" t="s">
        <v>89</v>
      </c>
      <c r="F16" s="11" t="s">
        <v>57</v>
      </c>
      <c r="G16" s="1">
        <v>36</v>
      </c>
      <c r="H16" s="1">
        <v>40</v>
      </c>
      <c r="I16" s="1">
        <v>37</v>
      </c>
      <c r="J16" s="1">
        <v>39</v>
      </c>
      <c r="K16" s="1">
        <v>33</v>
      </c>
      <c r="L16" s="1">
        <v>33</v>
      </c>
      <c r="M16" s="1">
        <v>50</v>
      </c>
      <c r="N16" s="1">
        <f>SUM(G16:M16)</f>
        <v>268</v>
      </c>
      <c r="O16" s="1"/>
      <c r="P16" s="1"/>
      <c r="Q16" s="1"/>
      <c r="R16" s="1"/>
    </row>
    <row r="17" spans="1:18" ht="21.95" customHeight="1">
      <c r="A17" s="1">
        <v>1569</v>
      </c>
      <c r="B17" s="7">
        <v>13</v>
      </c>
      <c r="C17" s="10">
        <v>851</v>
      </c>
      <c r="D17" s="11" t="s">
        <v>58</v>
      </c>
      <c r="E17" s="11" t="s">
        <v>59</v>
      </c>
      <c r="F17" s="11" t="s">
        <v>25</v>
      </c>
      <c r="G17" s="1">
        <v>62</v>
      </c>
      <c r="H17" s="1">
        <v>81</v>
      </c>
      <c r="I17" s="1">
        <v>58</v>
      </c>
      <c r="J17" s="1">
        <v>85</v>
      </c>
      <c r="K17" s="1">
        <v>70</v>
      </c>
      <c r="L17" s="1">
        <v>57</v>
      </c>
      <c r="M17" s="1">
        <v>70</v>
      </c>
      <c r="N17" s="1">
        <f>SUM(G17:M17)</f>
        <v>483</v>
      </c>
      <c r="O17" s="1"/>
      <c r="P17" s="1"/>
      <c r="Q17" s="1"/>
      <c r="R17" s="1"/>
    </row>
    <row r="18" spans="1:18" ht="21.95" customHeight="1">
      <c r="A18" s="1">
        <v>1592</v>
      </c>
      <c r="B18" s="7">
        <v>14</v>
      </c>
      <c r="C18" s="10">
        <v>852</v>
      </c>
      <c r="D18" s="11" t="s">
        <v>60</v>
      </c>
      <c r="E18" s="11" t="s">
        <v>61</v>
      </c>
      <c r="F18" s="11" t="s">
        <v>25</v>
      </c>
      <c r="G18" s="1">
        <v>66</v>
      </c>
      <c r="H18" s="1">
        <v>65</v>
      </c>
      <c r="I18" s="1">
        <v>52</v>
      </c>
      <c r="J18" s="1">
        <v>86</v>
      </c>
      <c r="K18" s="1">
        <v>84</v>
      </c>
      <c r="L18" s="1">
        <v>59</v>
      </c>
      <c r="M18" s="1">
        <v>60</v>
      </c>
      <c r="N18" s="1">
        <f>SUM(G18:M18)</f>
        <v>472</v>
      </c>
      <c r="O18" s="1"/>
      <c r="P18" s="1"/>
      <c r="Q18" s="1"/>
      <c r="R18" s="1"/>
    </row>
    <row r="19" spans="1:18" ht="21.95" customHeight="1">
      <c r="A19" s="1">
        <v>1896</v>
      </c>
      <c r="B19" s="7">
        <v>15</v>
      </c>
      <c r="C19" s="10">
        <v>853</v>
      </c>
      <c r="D19" s="11" t="s">
        <v>62</v>
      </c>
      <c r="E19" s="11" t="s">
        <v>63</v>
      </c>
      <c r="F19" s="11" t="s">
        <v>25</v>
      </c>
      <c r="G19" s="1">
        <v>92</v>
      </c>
      <c r="H19" s="1">
        <v>89</v>
      </c>
      <c r="I19" s="1">
        <v>69</v>
      </c>
      <c r="J19" s="1">
        <v>88</v>
      </c>
      <c r="K19" s="1">
        <v>85</v>
      </c>
      <c r="L19" s="1">
        <v>66</v>
      </c>
      <c r="M19" s="1">
        <v>90</v>
      </c>
      <c r="N19" s="1">
        <f>SUM(G19:M19)</f>
        <v>579</v>
      </c>
      <c r="O19" s="1"/>
      <c r="P19" s="1"/>
      <c r="Q19" s="1"/>
      <c r="R19" s="1"/>
    </row>
  </sheetData>
  <mergeCells count="4">
    <mergeCell ref="B1:R1"/>
    <mergeCell ref="B2:R2"/>
    <mergeCell ref="D3:E3"/>
    <mergeCell ref="F3:I3"/>
  </mergeCells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Q17"/>
  <sheetViews>
    <sheetView tabSelected="1" workbookViewId="0">
      <selection activeCell="N2" sqref="N2:T2"/>
    </sheetView>
  </sheetViews>
  <sheetFormatPr defaultRowHeight="15"/>
  <cols>
    <col min="2" max="2" width="5.28515625" customWidth="1"/>
    <col min="3" max="3" width="6.140625" customWidth="1"/>
    <col min="4" max="4" width="17.42578125" customWidth="1"/>
    <col min="5" max="5" width="19.140625" customWidth="1"/>
    <col min="6" max="6" width="7.140625" bestFit="1" customWidth="1"/>
    <col min="7" max="17" width="4.7109375" customWidth="1"/>
  </cols>
  <sheetData>
    <row r="2" spans="1:17" ht="69" customHeight="1">
      <c r="A2" s="1"/>
      <c r="B2" s="8" t="s">
        <v>14</v>
      </c>
      <c r="C2" s="5" t="s">
        <v>15</v>
      </c>
      <c r="D2" s="3" t="s">
        <v>16</v>
      </c>
      <c r="E2" s="3" t="s">
        <v>17</v>
      </c>
      <c r="F2" s="3" t="s">
        <v>18</v>
      </c>
      <c r="G2" s="2" t="s">
        <v>0</v>
      </c>
      <c r="H2" s="2" t="s">
        <v>27</v>
      </c>
      <c r="I2" s="2" t="s">
        <v>2</v>
      </c>
      <c r="J2" s="2" t="s">
        <v>28</v>
      </c>
      <c r="K2" s="2" t="s">
        <v>1</v>
      </c>
      <c r="L2" s="2" t="s">
        <v>4</v>
      </c>
      <c r="M2" s="2" t="s">
        <v>3</v>
      </c>
      <c r="N2" s="2" t="s">
        <v>12</v>
      </c>
      <c r="O2" s="2" t="s">
        <v>20</v>
      </c>
      <c r="P2" s="2" t="s">
        <v>21</v>
      </c>
      <c r="Q2" s="2" t="s">
        <v>13</v>
      </c>
    </row>
    <row r="3" spans="1:17" ht="23.1" customHeight="1">
      <c r="A3" s="1">
        <v>1577</v>
      </c>
      <c r="B3" s="7">
        <v>16</v>
      </c>
      <c r="C3" s="10">
        <v>854</v>
      </c>
      <c r="D3" s="11" t="s">
        <v>64</v>
      </c>
      <c r="E3" s="11" t="s">
        <v>65</v>
      </c>
      <c r="F3" s="11" t="s">
        <v>25</v>
      </c>
      <c r="G3" s="1">
        <v>90</v>
      </c>
      <c r="H3" s="1">
        <v>90</v>
      </c>
      <c r="I3" s="1">
        <v>67</v>
      </c>
      <c r="J3" s="1">
        <v>94</v>
      </c>
      <c r="K3" s="1">
        <v>93</v>
      </c>
      <c r="L3" s="1">
        <v>82</v>
      </c>
      <c r="M3" s="1">
        <v>91</v>
      </c>
      <c r="N3" s="1"/>
      <c r="O3" s="1"/>
      <c r="P3" s="1"/>
      <c r="Q3" s="1"/>
    </row>
    <row r="4" spans="1:17" ht="23.1" customHeight="1">
      <c r="A4" s="1">
        <v>1584</v>
      </c>
      <c r="B4" s="7">
        <v>17</v>
      </c>
      <c r="C4" s="10">
        <v>855</v>
      </c>
      <c r="D4" s="11" t="s">
        <v>66</v>
      </c>
      <c r="E4" s="11" t="s">
        <v>67</v>
      </c>
      <c r="F4" s="11" t="s">
        <v>68</v>
      </c>
      <c r="G4" s="1">
        <v>41</v>
      </c>
      <c r="H4" s="1">
        <v>45</v>
      </c>
      <c r="I4" s="1">
        <v>46</v>
      </c>
      <c r="J4" s="1">
        <v>65</v>
      </c>
      <c r="K4" s="1">
        <v>35</v>
      </c>
      <c r="L4" s="1">
        <v>38</v>
      </c>
      <c r="M4" s="1">
        <v>44</v>
      </c>
      <c r="N4" s="1"/>
      <c r="O4" s="1"/>
      <c r="P4" s="1"/>
      <c r="Q4" s="1"/>
    </row>
    <row r="5" spans="1:17" ht="23.1" customHeight="1">
      <c r="A5" s="1">
        <v>1597</v>
      </c>
      <c r="B5" s="7">
        <v>18</v>
      </c>
      <c r="C5" s="10">
        <v>856</v>
      </c>
      <c r="D5" s="11" t="s">
        <v>69</v>
      </c>
      <c r="E5" s="11" t="s">
        <v>34</v>
      </c>
      <c r="F5" s="11" t="s">
        <v>25</v>
      </c>
      <c r="G5" s="1">
        <v>35</v>
      </c>
      <c r="H5" s="1">
        <v>48</v>
      </c>
      <c r="I5" s="1">
        <v>46</v>
      </c>
      <c r="J5" s="1">
        <v>46</v>
      </c>
      <c r="K5" s="1">
        <v>55</v>
      </c>
      <c r="L5" s="1">
        <v>33</v>
      </c>
      <c r="M5" s="1">
        <v>44</v>
      </c>
      <c r="N5" s="1"/>
      <c r="O5" s="1"/>
      <c r="P5" s="1"/>
      <c r="Q5" s="1"/>
    </row>
    <row r="6" spans="1:17" ht="23.1" customHeight="1">
      <c r="A6" s="1">
        <v>1596</v>
      </c>
      <c r="B6" s="7">
        <v>19</v>
      </c>
      <c r="C6" s="10">
        <v>857</v>
      </c>
      <c r="D6" s="11" t="s">
        <v>70</v>
      </c>
      <c r="E6" s="11" t="s">
        <v>34</v>
      </c>
      <c r="F6" s="11" t="s">
        <v>25</v>
      </c>
      <c r="G6" s="1">
        <v>45</v>
      </c>
      <c r="H6" s="1">
        <v>50</v>
      </c>
      <c r="I6" s="1">
        <v>49</v>
      </c>
      <c r="J6" s="1">
        <v>56</v>
      </c>
      <c r="K6" s="1">
        <v>82</v>
      </c>
      <c r="L6" s="1">
        <v>49</v>
      </c>
      <c r="M6" s="1">
        <v>40</v>
      </c>
      <c r="N6" s="1"/>
      <c r="O6" s="1"/>
      <c r="P6" s="1"/>
      <c r="Q6" s="1"/>
    </row>
    <row r="7" spans="1:17" ht="23.1" customHeight="1">
      <c r="A7" s="1">
        <v>1579</v>
      </c>
      <c r="B7" s="7">
        <v>20</v>
      </c>
      <c r="C7" s="10">
        <v>858</v>
      </c>
      <c r="D7" s="11" t="s">
        <v>73</v>
      </c>
      <c r="E7" s="11" t="s">
        <v>74</v>
      </c>
      <c r="F7" s="11" t="s">
        <v>25</v>
      </c>
      <c r="G7" s="1">
        <v>77</v>
      </c>
      <c r="H7" s="1">
        <v>70</v>
      </c>
      <c r="I7" s="1">
        <v>57</v>
      </c>
      <c r="J7" s="1">
        <v>72</v>
      </c>
      <c r="K7" s="1">
        <v>70</v>
      </c>
      <c r="L7" s="1">
        <v>76</v>
      </c>
      <c r="M7" s="1">
        <v>70</v>
      </c>
      <c r="N7" s="1"/>
      <c r="O7" s="1"/>
      <c r="P7" s="1"/>
      <c r="Q7" s="1"/>
    </row>
    <row r="8" spans="1:17" ht="23.1" customHeight="1">
      <c r="A8" s="1">
        <v>1603</v>
      </c>
      <c r="B8" s="7">
        <v>21</v>
      </c>
      <c r="C8" s="10">
        <v>859</v>
      </c>
      <c r="D8" s="11" t="s">
        <v>75</v>
      </c>
      <c r="E8" s="11" t="s">
        <v>26</v>
      </c>
      <c r="F8" s="11" t="s">
        <v>25</v>
      </c>
      <c r="G8" s="1">
        <v>56</v>
      </c>
      <c r="H8" s="1">
        <v>60</v>
      </c>
      <c r="I8" s="1">
        <v>52</v>
      </c>
      <c r="J8" s="1">
        <v>72</v>
      </c>
      <c r="K8" s="1">
        <v>85</v>
      </c>
      <c r="L8" s="1">
        <v>65</v>
      </c>
      <c r="M8" s="1">
        <v>75</v>
      </c>
      <c r="N8" s="1"/>
      <c r="O8" s="1"/>
      <c r="P8" s="1"/>
      <c r="Q8" s="1"/>
    </row>
    <row r="9" spans="1:17" ht="23.1" customHeight="1">
      <c r="A9" s="1">
        <v>1563</v>
      </c>
      <c r="B9" s="7">
        <v>22</v>
      </c>
      <c r="C9" s="10">
        <v>860</v>
      </c>
      <c r="D9" s="11" t="s">
        <v>76</v>
      </c>
      <c r="E9" s="11" t="s">
        <v>77</v>
      </c>
      <c r="F9" s="11" t="s">
        <v>68</v>
      </c>
      <c r="G9" s="1">
        <v>40</v>
      </c>
      <c r="H9" s="1">
        <v>50</v>
      </c>
      <c r="I9" s="1">
        <v>47</v>
      </c>
      <c r="J9" s="1">
        <v>48</v>
      </c>
      <c r="K9" s="1">
        <v>35</v>
      </c>
      <c r="L9" s="1">
        <v>40</v>
      </c>
      <c r="M9" s="1">
        <v>50</v>
      </c>
      <c r="N9" s="1"/>
      <c r="O9" s="1"/>
      <c r="P9" s="1"/>
      <c r="Q9" s="1"/>
    </row>
    <row r="10" spans="1:17" ht="23.1" customHeight="1">
      <c r="A10" s="1">
        <v>1505</v>
      </c>
      <c r="B10" s="7">
        <v>23</v>
      </c>
      <c r="C10" s="10">
        <v>861</v>
      </c>
      <c r="D10" s="11" t="s">
        <v>78</v>
      </c>
      <c r="E10" s="11" t="s">
        <v>79</v>
      </c>
      <c r="F10" s="11" t="s">
        <v>25</v>
      </c>
      <c r="G10" s="1">
        <v>89</v>
      </c>
      <c r="H10" s="1">
        <v>90</v>
      </c>
      <c r="I10" s="1">
        <v>72</v>
      </c>
      <c r="J10" s="1">
        <v>90</v>
      </c>
      <c r="K10" s="1">
        <v>88</v>
      </c>
      <c r="L10" s="1">
        <v>80</v>
      </c>
      <c r="M10" s="1">
        <v>92</v>
      </c>
      <c r="N10" s="1"/>
      <c r="O10" s="1"/>
      <c r="P10" s="1"/>
      <c r="Q10" s="1"/>
    </row>
    <row r="11" spans="1:17" ht="23.1" customHeight="1">
      <c r="A11" s="1">
        <v>1504</v>
      </c>
      <c r="B11" s="7">
        <v>24</v>
      </c>
      <c r="C11" s="10">
        <v>862</v>
      </c>
      <c r="D11" s="11" t="s">
        <v>80</v>
      </c>
      <c r="E11" s="11" t="s">
        <v>79</v>
      </c>
      <c r="F11" s="11" t="s">
        <v>25</v>
      </c>
      <c r="G11" s="1">
        <v>45</v>
      </c>
      <c r="H11" s="1">
        <v>50</v>
      </c>
      <c r="I11" s="1">
        <v>52</v>
      </c>
      <c r="J11" s="1">
        <v>44</v>
      </c>
      <c r="K11" s="1">
        <v>60</v>
      </c>
      <c r="L11" s="1">
        <v>83</v>
      </c>
      <c r="M11" s="1">
        <v>60</v>
      </c>
      <c r="N11" s="1"/>
      <c r="O11" s="1"/>
      <c r="P11" s="1"/>
      <c r="Q11" s="1"/>
    </row>
    <row r="12" spans="1:17" ht="23.1" customHeight="1">
      <c r="A12" s="1">
        <v>1931</v>
      </c>
      <c r="B12" s="7">
        <v>25</v>
      </c>
      <c r="C12" s="10">
        <v>863</v>
      </c>
      <c r="D12" s="11" t="s">
        <v>81</v>
      </c>
      <c r="E12" s="11" t="s">
        <v>82</v>
      </c>
      <c r="F12" s="11" t="s">
        <v>25</v>
      </c>
      <c r="G12" s="1">
        <v>58</v>
      </c>
      <c r="H12" s="1">
        <v>60</v>
      </c>
      <c r="I12" s="1">
        <v>52</v>
      </c>
      <c r="J12" s="1">
        <v>58</v>
      </c>
      <c r="K12" s="1">
        <v>83</v>
      </c>
      <c r="L12" s="1">
        <v>62</v>
      </c>
      <c r="M12" s="1">
        <v>67</v>
      </c>
      <c r="N12" s="1"/>
      <c r="O12" s="1"/>
      <c r="P12" s="1"/>
      <c r="Q12" s="1"/>
    </row>
    <row r="13" spans="1:17" ht="23.1" customHeight="1">
      <c r="A13" s="1"/>
      <c r="B13" s="7">
        <v>26</v>
      </c>
      <c r="C13" s="10">
        <v>864</v>
      </c>
      <c r="D13" s="11" t="s">
        <v>83</v>
      </c>
      <c r="E13" s="11" t="s">
        <v>84</v>
      </c>
      <c r="F13" s="11" t="s">
        <v>24</v>
      </c>
      <c r="G13" s="1">
        <v>56</v>
      </c>
      <c r="H13" s="1">
        <v>70</v>
      </c>
      <c r="I13" s="1">
        <v>48</v>
      </c>
      <c r="J13" s="1">
        <v>66</v>
      </c>
      <c r="K13" s="1">
        <v>83</v>
      </c>
      <c r="L13" s="1">
        <v>70</v>
      </c>
      <c r="M13" s="1">
        <v>70</v>
      </c>
      <c r="N13" s="1"/>
      <c r="O13" s="1"/>
      <c r="P13" s="1"/>
      <c r="Q13" s="1"/>
    </row>
    <row r="14" spans="1:17" ht="23.1" customHeight="1">
      <c r="A14" s="1"/>
      <c r="B14" s="7">
        <v>27</v>
      </c>
      <c r="C14" s="10"/>
      <c r="D14" s="11"/>
      <c r="E14" s="11"/>
      <c r="F14" s="1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3.1" customHeight="1">
      <c r="A15" s="1"/>
      <c r="B15" s="7">
        <v>28</v>
      </c>
      <c r="C15" s="10"/>
      <c r="D15" s="11"/>
      <c r="E15" s="11"/>
      <c r="F15" s="1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3.1" customHeight="1">
      <c r="A16" s="1"/>
      <c r="B16" s="7">
        <v>29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3.1" customHeight="1">
      <c r="A17" s="1"/>
      <c r="B17" s="7">
        <v>30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9"/>
  <sheetViews>
    <sheetView topLeftCell="J1" workbookViewId="0">
      <selection activeCell="E9" sqref="E9"/>
    </sheetView>
  </sheetViews>
  <sheetFormatPr defaultRowHeight="15"/>
  <cols>
    <col min="21" max="21" width="5.140625" customWidth="1"/>
  </cols>
  <sheetData>
    <row r="1" spans="1:24" ht="81.75">
      <c r="A1" s="8" t="s">
        <v>14</v>
      </c>
      <c r="B1" s="5" t="s">
        <v>15</v>
      </c>
      <c r="C1" s="3" t="s">
        <v>16</v>
      </c>
      <c r="D1" s="3" t="s">
        <v>17</v>
      </c>
      <c r="E1" s="3" t="s">
        <v>18</v>
      </c>
      <c r="F1" s="2" t="s">
        <v>0</v>
      </c>
      <c r="G1" s="2" t="s">
        <v>27</v>
      </c>
      <c r="H1" s="2" t="s">
        <v>2</v>
      </c>
      <c r="I1" s="2" t="s">
        <v>28</v>
      </c>
      <c r="J1" s="2" t="s">
        <v>1</v>
      </c>
      <c r="K1" s="2" t="s">
        <v>4</v>
      </c>
      <c r="L1" s="2" t="s">
        <v>3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20</v>
      </c>
      <c r="V1" s="2" t="s">
        <v>21</v>
      </c>
      <c r="W1" s="2" t="s">
        <v>86</v>
      </c>
      <c r="X1" s="2" t="s">
        <v>13</v>
      </c>
    </row>
    <row r="2" spans="1:24">
      <c r="A2" s="7">
        <v>1</v>
      </c>
      <c r="B2" s="10">
        <v>801</v>
      </c>
      <c r="C2" s="11" t="s">
        <v>29</v>
      </c>
      <c r="D2" s="11" t="s">
        <v>30</v>
      </c>
      <c r="E2" s="11" t="s">
        <v>31</v>
      </c>
      <c r="F2" s="1" t="s">
        <v>87</v>
      </c>
      <c r="G2" s="1" t="s">
        <v>87</v>
      </c>
      <c r="H2" s="1" t="s">
        <v>87</v>
      </c>
      <c r="I2" s="1" t="s">
        <v>87</v>
      </c>
      <c r="J2" s="1" t="s">
        <v>87</v>
      </c>
      <c r="K2" s="1" t="s">
        <v>87</v>
      </c>
      <c r="L2" s="1" t="s">
        <v>87</v>
      </c>
      <c r="M2" s="1" t="s">
        <v>87</v>
      </c>
      <c r="N2" s="1" t="s">
        <v>87</v>
      </c>
      <c r="O2" s="1" t="s">
        <v>87</v>
      </c>
      <c r="P2" s="1" t="s">
        <v>87</v>
      </c>
      <c r="Q2" s="1" t="s">
        <v>87</v>
      </c>
      <c r="R2" s="1" t="s">
        <v>87</v>
      </c>
      <c r="S2" s="1" t="s">
        <v>87</v>
      </c>
      <c r="T2" s="1">
        <f>SUM(F2:S2)</f>
        <v>0</v>
      </c>
      <c r="U2" s="1">
        <f>SUM(T2/725*100)</f>
        <v>0</v>
      </c>
      <c r="V2" s="1" t="str">
        <f>IF(U2&gt;79.99,"A1",IF(U2&gt;69.99,"A",IF(U2&gt;59.99,"B",IF(U2&gt;49.99,"C",IF(U2&gt;39.99,"D",IF(U2&gt;32.99,"E","FAIL"))))))</f>
        <v>FAIL</v>
      </c>
      <c r="W2" s="1">
        <f>RANK(U2,U$2:U29)</f>
        <v>25</v>
      </c>
      <c r="X2" s="1"/>
    </row>
    <row r="3" spans="1:24">
      <c r="A3" s="7">
        <v>2</v>
      </c>
      <c r="B3" s="10">
        <v>802</v>
      </c>
      <c r="C3" s="11" t="s">
        <v>32</v>
      </c>
      <c r="D3" s="11" t="s">
        <v>30</v>
      </c>
      <c r="E3" s="11" t="s">
        <v>25</v>
      </c>
      <c r="F3" s="1">
        <v>28</v>
      </c>
      <c r="G3" s="1">
        <v>30</v>
      </c>
      <c r="H3" s="1">
        <v>32</v>
      </c>
      <c r="I3" s="1">
        <v>31</v>
      </c>
      <c r="J3" s="1">
        <v>31</v>
      </c>
      <c r="K3" s="1">
        <v>27</v>
      </c>
      <c r="L3" s="1">
        <v>27</v>
      </c>
      <c r="M3" s="1">
        <v>45</v>
      </c>
      <c r="N3" s="1">
        <v>16</v>
      </c>
      <c r="O3" s="1">
        <v>16</v>
      </c>
      <c r="P3" s="1">
        <v>10</v>
      </c>
      <c r="Q3" s="1">
        <v>5</v>
      </c>
      <c r="R3" s="1">
        <v>14</v>
      </c>
      <c r="S3" s="1">
        <v>16</v>
      </c>
      <c r="T3" s="1">
        <f t="shared" ref="T3:T29" si="0">SUM(F3:S3)</f>
        <v>328</v>
      </c>
      <c r="U3" s="1">
        <f t="shared" ref="U3:U29" si="1">SUM(T3/725*100)</f>
        <v>45.241379310344826</v>
      </c>
      <c r="V3" s="1" t="str">
        <f t="shared" ref="V3:V29" si="2">IF(U3&gt;79.99,"A1",IF(U3&gt;69.99,"A",IF(U3&gt;59.99,"B",IF(U3&gt;49.99,"C",IF(U3&gt;39.99,"D",IF(U3&gt;32.99,"E","FAIL"))))))</f>
        <v>D</v>
      </c>
      <c r="W3" s="1">
        <f>RANK(U3,U$2:U30)</f>
        <v>16</v>
      </c>
      <c r="X3" s="1"/>
    </row>
    <row r="4" spans="1:24">
      <c r="A4" s="7">
        <v>3</v>
      </c>
      <c r="B4" s="10">
        <v>803</v>
      </c>
      <c r="C4" s="11" t="s">
        <v>33</v>
      </c>
      <c r="D4" s="11" t="s">
        <v>34</v>
      </c>
      <c r="E4" s="11" t="s">
        <v>25</v>
      </c>
      <c r="F4" s="1">
        <v>25</v>
      </c>
      <c r="G4" s="1">
        <v>27</v>
      </c>
      <c r="H4" s="1">
        <v>28</v>
      </c>
      <c r="I4" s="1">
        <v>30</v>
      </c>
      <c r="J4" s="1">
        <v>27</v>
      </c>
      <c r="K4" s="1">
        <v>29</v>
      </c>
      <c r="L4" s="1">
        <v>27</v>
      </c>
      <c r="M4" s="1">
        <v>31</v>
      </c>
      <c r="N4" s="1">
        <v>7</v>
      </c>
      <c r="O4" s="1">
        <v>8</v>
      </c>
      <c r="P4" s="1">
        <v>5</v>
      </c>
      <c r="Q4" s="1">
        <v>4</v>
      </c>
      <c r="R4" s="1">
        <v>8</v>
      </c>
      <c r="S4" s="1">
        <v>9</v>
      </c>
      <c r="T4" s="1">
        <f t="shared" si="0"/>
        <v>265</v>
      </c>
      <c r="U4" s="1">
        <f t="shared" si="1"/>
        <v>36.551724137931032</v>
      </c>
      <c r="V4" s="1" t="str">
        <f t="shared" si="2"/>
        <v>E</v>
      </c>
      <c r="W4" s="1">
        <f>RANK(U4,U$2:U31)</f>
        <v>20</v>
      </c>
      <c r="X4" s="1"/>
    </row>
    <row r="5" spans="1:24">
      <c r="A5" s="7">
        <v>4</v>
      </c>
      <c r="B5" s="10">
        <v>804</v>
      </c>
      <c r="C5" s="11" t="s">
        <v>35</v>
      </c>
      <c r="D5" s="11" t="s">
        <v>36</v>
      </c>
      <c r="E5" s="11" t="s">
        <v>25</v>
      </c>
      <c r="F5" s="1" t="s">
        <v>87</v>
      </c>
      <c r="G5" s="1" t="s">
        <v>87</v>
      </c>
      <c r="H5" s="1" t="s">
        <v>87</v>
      </c>
      <c r="I5" s="1" t="s">
        <v>87</v>
      </c>
      <c r="J5" s="1" t="s">
        <v>87</v>
      </c>
      <c r="K5" s="1" t="s">
        <v>87</v>
      </c>
      <c r="L5" s="1" t="s">
        <v>87</v>
      </c>
      <c r="M5" s="1" t="s">
        <v>87</v>
      </c>
      <c r="N5" s="1" t="s">
        <v>87</v>
      </c>
      <c r="O5" s="1" t="s">
        <v>87</v>
      </c>
      <c r="P5" s="1" t="s">
        <v>87</v>
      </c>
      <c r="Q5" s="1" t="s">
        <v>87</v>
      </c>
      <c r="R5" s="1" t="s">
        <v>87</v>
      </c>
      <c r="S5" s="1" t="s">
        <v>87</v>
      </c>
      <c r="T5" s="1">
        <f t="shared" si="0"/>
        <v>0</v>
      </c>
      <c r="U5" s="1">
        <f t="shared" si="1"/>
        <v>0</v>
      </c>
      <c r="V5" s="1" t="str">
        <f t="shared" si="2"/>
        <v>FAIL</v>
      </c>
      <c r="W5" s="1">
        <f>RANK(U5,U$2:U32)</f>
        <v>25</v>
      </c>
      <c r="X5" s="1"/>
    </row>
    <row r="6" spans="1:24">
      <c r="A6" s="7">
        <v>5</v>
      </c>
      <c r="B6" s="10">
        <v>805</v>
      </c>
      <c r="C6" s="11" t="s">
        <v>37</v>
      </c>
      <c r="D6" s="11" t="s">
        <v>38</v>
      </c>
      <c r="E6" s="11" t="s">
        <v>39</v>
      </c>
      <c r="F6" s="1">
        <v>60</v>
      </c>
      <c r="G6" s="1">
        <v>42</v>
      </c>
      <c r="H6" s="1">
        <v>58</v>
      </c>
      <c r="I6" s="1">
        <v>56</v>
      </c>
      <c r="J6" s="1">
        <v>66</v>
      </c>
      <c r="K6" s="1">
        <v>59</v>
      </c>
      <c r="L6" s="1">
        <v>60</v>
      </c>
      <c r="M6" s="1">
        <v>50</v>
      </c>
      <c r="N6" s="1">
        <v>18</v>
      </c>
      <c r="O6" s="1">
        <v>15</v>
      </c>
      <c r="P6" s="1">
        <v>16</v>
      </c>
      <c r="Q6" s="1">
        <v>7</v>
      </c>
      <c r="R6" s="1">
        <v>17</v>
      </c>
      <c r="S6" s="1">
        <v>16</v>
      </c>
      <c r="T6" s="1">
        <f t="shared" si="0"/>
        <v>540</v>
      </c>
      <c r="U6" s="1">
        <f t="shared" si="1"/>
        <v>74.482758620689665</v>
      </c>
      <c r="V6" s="1" t="str">
        <f t="shared" si="2"/>
        <v>A</v>
      </c>
      <c r="W6" s="1">
        <f>RANK(U6,U$2:U33)</f>
        <v>4</v>
      </c>
      <c r="X6" s="1"/>
    </row>
    <row r="7" spans="1:24">
      <c r="A7" s="7">
        <v>6</v>
      </c>
      <c r="B7" s="10">
        <v>806</v>
      </c>
      <c r="C7" s="11" t="s">
        <v>40</v>
      </c>
      <c r="D7" s="11" t="s">
        <v>41</v>
      </c>
      <c r="E7" s="11" t="s">
        <v>42</v>
      </c>
      <c r="F7" s="1">
        <v>30</v>
      </c>
      <c r="G7" s="1">
        <v>27</v>
      </c>
      <c r="H7" s="1">
        <v>25</v>
      </c>
      <c r="I7" s="1">
        <v>30</v>
      </c>
      <c r="J7" s="1">
        <v>27</v>
      </c>
      <c r="K7" s="1">
        <v>25</v>
      </c>
      <c r="L7" s="1">
        <v>27</v>
      </c>
      <c r="M7" s="1">
        <v>35</v>
      </c>
      <c r="N7" s="1">
        <v>11</v>
      </c>
      <c r="O7" s="1">
        <v>4</v>
      </c>
      <c r="P7" s="1">
        <v>5</v>
      </c>
      <c r="Q7" s="1">
        <v>3</v>
      </c>
      <c r="R7" s="1">
        <v>5</v>
      </c>
      <c r="S7" s="1">
        <v>9</v>
      </c>
      <c r="T7" s="1">
        <f t="shared" si="0"/>
        <v>263</v>
      </c>
      <c r="U7" s="1">
        <f t="shared" si="1"/>
        <v>36.275862068965523</v>
      </c>
      <c r="V7" s="1" t="str">
        <f t="shared" si="2"/>
        <v>E</v>
      </c>
      <c r="W7" s="1">
        <f>RANK(U7,U$2:U34)</f>
        <v>22</v>
      </c>
      <c r="X7" s="1"/>
    </row>
    <row r="8" spans="1:24">
      <c r="A8" s="7">
        <v>7</v>
      </c>
      <c r="B8" s="10">
        <v>807</v>
      </c>
      <c r="C8" s="11" t="s">
        <v>43</v>
      </c>
      <c r="D8" s="11" t="s">
        <v>44</v>
      </c>
      <c r="E8" s="11" t="s">
        <v>25</v>
      </c>
      <c r="F8" s="1">
        <v>25</v>
      </c>
      <c r="G8" s="1">
        <v>30</v>
      </c>
      <c r="H8" s="1">
        <v>27</v>
      </c>
      <c r="I8" s="1">
        <v>35</v>
      </c>
      <c r="J8" s="1">
        <v>35</v>
      </c>
      <c r="K8" s="1">
        <v>29</v>
      </c>
      <c r="L8" s="1">
        <v>35</v>
      </c>
      <c r="M8" s="1">
        <v>50</v>
      </c>
      <c r="N8" s="1">
        <v>15</v>
      </c>
      <c r="O8" s="1">
        <v>13</v>
      </c>
      <c r="P8" s="1">
        <v>8</v>
      </c>
      <c r="Q8" s="1">
        <v>8</v>
      </c>
      <c r="R8" s="1">
        <v>15</v>
      </c>
      <c r="S8" s="1">
        <v>16</v>
      </c>
      <c r="T8" s="1">
        <f t="shared" si="0"/>
        <v>341</v>
      </c>
      <c r="U8" s="1">
        <f t="shared" si="1"/>
        <v>47.03448275862069</v>
      </c>
      <c r="V8" s="1" t="str">
        <f t="shared" si="2"/>
        <v>D</v>
      </c>
      <c r="W8" s="1">
        <f>RANK(U8,U$2:U35)</f>
        <v>15</v>
      </c>
      <c r="X8" s="1"/>
    </row>
    <row r="9" spans="1:24">
      <c r="A9" s="7">
        <v>8</v>
      </c>
      <c r="B9" s="10">
        <v>808</v>
      </c>
      <c r="C9" s="11" t="s">
        <v>45</v>
      </c>
      <c r="D9" s="11" t="s">
        <v>46</v>
      </c>
      <c r="E9" s="11" t="s">
        <v>22</v>
      </c>
      <c r="F9" s="1">
        <v>27</v>
      </c>
      <c r="G9" s="1">
        <v>30</v>
      </c>
      <c r="H9" s="1">
        <v>34</v>
      </c>
      <c r="I9" s="1">
        <v>30</v>
      </c>
      <c r="J9" s="1">
        <v>51</v>
      </c>
      <c r="K9" s="1">
        <v>35</v>
      </c>
      <c r="L9" s="1">
        <v>36</v>
      </c>
      <c r="M9" s="1">
        <v>50</v>
      </c>
      <c r="N9" s="1">
        <v>15</v>
      </c>
      <c r="O9" s="1">
        <v>16</v>
      </c>
      <c r="P9" s="1">
        <v>9</v>
      </c>
      <c r="Q9" s="1">
        <v>7</v>
      </c>
      <c r="R9" s="1">
        <v>15</v>
      </c>
      <c r="S9" s="1">
        <v>15</v>
      </c>
      <c r="T9" s="1">
        <f t="shared" si="0"/>
        <v>370</v>
      </c>
      <c r="U9" s="1">
        <f t="shared" si="1"/>
        <v>51.03448275862069</v>
      </c>
      <c r="V9" s="1" t="str">
        <f t="shared" si="2"/>
        <v>C</v>
      </c>
      <c r="W9" s="1">
        <f>RANK(U9,U$2:U36)</f>
        <v>12</v>
      </c>
      <c r="X9" s="1"/>
    </row>
    <row r="10" spans="1:24">
      <c r="A10" s="7">
        <v>9</v>
      </c>
      <c r="B10" s="10">
        <v>809</v>
      </c>
      <c r="C10" s="11" t="s">
        <v>47</v>
      </c>
      <c r="D10" s="11" t="s">
        <v>48</v>
      </c>
      <c r="E10" s="11" t="s">
        <v>49</v>
      </c>
      <c r="F10" s="1">
        <v>25</v>
      </c>
      <c r="G10" s="1">
        <v>28</v>
      </c>
      <c r="H10" s="1">
        <v>30</v>
      </c>
      <c r="I10" s="1">
        <v>30</v>
      </c>
      <c r="J10" s="1">
        <v>27</v>
      </c>
      <c r="K10" s="1">
        <v>26</v>
      </c>
      <c r="L10" s="1" t="s">
        <v>87</v>
      </c>
      <c r="M10" s="1">
        <v>47</v>
      </c>
      <c r="N10" s="1">
        <v>12</v>
      </c>
      <c r="O10" s="1">
        <v>10</v>
      </c>
      <c r="P10" s="1">
        <v>8</v>
      </c>
      <c r="Q10" s="1">
        <v>6</v>
      </c>
      <c r="R10" s="1">
        <v>12</v>
      </c>
      <c r="S10" s="1">
        <v>13</v>
      </c>
      <c r="T10" s="1">
        <f t="shared" si="0"/>
        <v>274</v>
      </c>
      <c r="U10" s="1">
        <f t="shared" si="1"/>
        <v>37.793103448275858</v>
      </c>
      <c r="V10" s="1" t="str">
        <f t="shared" si="2"/>
        <v>E</v>
      </c>
      <c r="W10" s="1">
        <f>RANK(U10,U$2:U37)</f>
        <v>19</v>
      </c>
      <c r="X10" s="1"/>
    </row>
    <row r="11" spans="1:24">
      <c r="A11" s="7">
        <v>10</v>
      </c>
      <c r="B11" s="10">
        <v>810</v>
      </c>
      <c r="C11" s="11" t="s">
        <v>50</v>
      </c>
      <c r="D11" s="11" t="s">
        <v>23</v>
      </c>
      <c r="E11" s="11" t="s">
        <v>24</v>
      </c>
      <c r="F11" s="1">
        <v>25</v>
      </c>
      <c r="G11" s="1">
        <v>27</v>
      </c>
      <c r="H11" s="1">
        <v>26</v>
      </c>
      <c r="I11" s="1">
        <v>27</v>
      </c>
      <c r="J11" s="1">
        <v>25</v>
      </c>
      <c r="K11" s="1">
        <v>26</v>
      </c>
      <c r="L11" s="1">
        <v>27</v>
      </c>
      <c r="M11" s="1">
        <v>31</v>
      </c>
      <c r="N11" s="1">
        <v>3</v>
      </c>
      <c r="O11" s="1">
        <v>10</v>
      </c>
      <c r="P11" s="1">
        <v>5</v>
      </c>
      <c r="Q11" s="1">
        <v>7</v>
      </c>
      <c r="R11" s="1">
        <v>5</v>
      </c>
      <c r="S11" s="1">
        <v>5</v>
      </c>
      <c r="T11" s="1">
        <f t="shared" si="0"/>
        <v>249</v>
      </c>
      <c r="U11" s="1">
        <f t="shared" si="1"/>
        <v>34.344827586206897</v>
      </c>
      <c r="V11" s="1" t="str">
        <f t="shared" si="2"/>
        <v>E</v>
      </c>
      <c r="W11" s="1">
        <f>RANK(U11,U$2:U38)</f>
        <v>23</v>
      </c>
      <c r="X11" s="1"/>
    </row>
    <row r="12" spans="1:24">
      <c r="A12" s="7">
        <v>11</v>
      </c>
      <c r="B12" s="10">
        <v>811</v>
      </c>
      <c r="C12" s="11" t="s">
        <v>51</v>
      </c>
      <c r="D12" s="11" t="s">
        <v>52</v>
      </c>
      <c r="E12" s="11" t="s">
        <v>25</v>
      </c>
      <c r="F12" s="1">
        <v>28</v>
      </c>
      <c r="G12" s="1">
        <v>29</v>
      </c>
      <c r="H12" s="1">
        <v>25</v>
      </c>
      <c r="I12" s="1">
        <v>30</v>
      </c>
      <c r="J12" s="1">
        <v>27</v>
      </c>
      <c r="K12" s="1">
        <v>29</v>
      </c>
      <c r="L12" s="1">
        <v>27</v>
      </c>
      <c r="M12" s="1">
        <v>35</v>
      </c>
      <c r="N12" s="1">
        <v>3</v>
      </c>
      <c r="O12" s="1">
        <v>10</v>
      </c>
      <c r="P12" s="1">
        <v>5</v>
      </c>
      <c r="Q12" s="1">
        <v>7</v>
      </c>
      <c r="R12" s="1">
        <v>5</v>
      </c>
      <c r="S12" s="1">
        <v>5</v>
      </c>
      <c r="T12" s="1">
        <f t="shared" si="0"/>
        <v>265</v>
      </c>
      <c r="U12" s="1">
        <f t="shared" si="1"/>
        <v>36.551724137931032</v>
      </c>
      <c r="V12" s="1" t="str">
        <f t="shared" si="2"/>
        <v>E</v>
      </c>
      <c r="W12" s="1">
        <f>RANK(U12,U$2:U39)</f>
        <v>20</v>
      </c>
      <c r="X12" s="1"/>
    </row>
    <row r="13" spans="1:24">
      <c r="A13" s="7">
        <v>12</v>
      </c>
      <c r="B13" s="10">
        <v>812</v>
      </c>
      <c r="C13" s="11" t="s">
        <v>53</v>
      </c>
      <c r="D13" s="11" t="s">
        <v>54</v>
      </c>
      <c r="E13" s="11" t="s">
        <v>25</v>
      </c>
      <c r="F13" s="1">
        <v>58</v>
      </c>
      <c r="G13" s="1">
        <v>47</v>
      </c>
      <c r="H13" s="1">
        <v>70</v>
      </c>
      <c r="I13" s="1">
        <v>48</v>
      </c>
      <c r="J13" s="1">
        <v>40</v>
      </c>
      <c r="K13" s="1">
        <v>41</v>
      </c>
      <c r="L13" s="1">
        <v>50</v>
      </c>
      <c r="M13" s="1" t="s">
        <v>87</v>
      </c>
      <c r="N13" s="1">
        <v>18</v>
      </c>
      <c r="O13" s="1">
        <v>17</v>
      </c>
      <c r="P13" s="1">
        <v>9</v>
      </c>
      <c r="Q13" s="1">
        <v>7</v>
      </c>
      <c r="R13" s="1">
        <v>16</v>
      </c>
      <c r="S13" s="1">
        <v>15</v>
      </c>
      <c r="T13" s="1">
        <f t="shared" si="0"/>
        <v>436</v>
      </c>
      <c r="U13" s="1">
        <f t="shared" si="1"/>
        <v>60.137931034482762</v>
      </c>
      <c r="V13" s="1" t="str">
        <f t="shared" si="2"/>
        <v>B</v>
      </c>
      <c r="W13" s="1">
        <f>RANK(U13,U$2:U40)</f>
        <v>9</v>
      </c>
      <c r="X13" s="1"/>
    </row>
    <row r="14" spans="1:24">
      <c r="A14" s="7">
        <v>13</v>
      </c>
      <c r="B14" s="10">
        <v>813</v>
      </c>
      <c r="C14" s="11" t="s">
        <v>55</v>
      </c>
      <c r="D14" s="11" t="s">
        <v>56</v>
      </c>
      <c r="E14" s="11" t="s">
        <v>57</v>
      </c>
      <c r="F14" s="1" t="s">
        <v>87</v>
      </c>
      <c r="G14" s="1" t="s">
        <v>87</v>
      </c>
      <c r="H14" s="1" t="s">
        <v>87</v>
      </c>
      <c r="I14" s="1" t="s">
        <v>87</v>
      </c>
      <c r="J14" s="1" t="s">
        <v>87</v>
      </c>
      <c r="K14" s="1" t="s">
        <v>87</v>
      </c>
      <c r="L14" s="1" t="s">
        <v>87</v>
      </c>
      <c r="M14" s="1" t="s">
        <v>87</v>
      </c>
      <c r="N14" s="1" t="s">
        <v>87</v>
      </c>
      <c r="O14" s="1" t="s">
        <v>87</v>
      </c>
      <c r="P14" s="1" t="s">
        <v>87</v>
      </c>
      <c r="Q14" s="1" t="s">
        <v>87</v>
      </c>
      <c r="R14" s="1" t="s">
        <v>87</v>
      </c>
      <c r="S14" s="1" t="s">
        <v>87</v>
      </c>
      <c r="T14" s="1">
        <f t="shared" si="0"/>
        <v>0</v>
      </c>
      <c r="U14" s="1">
        <f t="shared" si="1"/>
        <v>0</v>
      </c>
      <c r="V14" s="1" t="str">
        <f t="shared" si="2"/>
        <v>FAIL</v>
      </c>
      <c r="W14" s="1">
        <f>RANK(U14,U$2:U41)</f>
        <v>25</v>
      </c>
      <c r="X14" s="1"/>
    </row>
    <row r="15" spans="1:24">
      <c r="A15" s="7">
        <v>14</v>
      </c>
      <c r="B15" s="10">
        <v>851</v>
      </c>
      <c r="C15" s="11" t="s">
        <v>58</v>
      </c>
      <c r="D15" s="11" t="s">
        <v>59</v>
      </c>
      <c r="E15" s="11" t="s">
        <v>25</v>
      </c>
      <c r="F15" s="1">
        <v>42</v>
      </c>
      <c r="G15" s="1">
        <v>48</v>
      </c>
      <c r="H15" s="1">
        <v>53</v>
      </c>
      <c r="I15" s="1">
        <v>65</v>
      </c>
      <c r="J15" s="1">
        <v>43</v>
      </c>
      <c r="K15" s="1">
        <v>47</v>
      </c>
      <c r="L15" s="1">
        <v>45</v>
      </c>
      <c r="M15" s="1">
        <v>58</v>
      </c>
      <c r="N15" s="1">
        <v>18</v>
      </c>
      <c r="O15" s="1">
        <v>17</v>
      </c>
      <c r="P15" s="1">
        <v>9</v>
      </c>
      <c r="Q15" s="1">
        <v>8</v>
      </c>
      <c r="R15" s="1">
        <v>18</v>
      </c>
      <c r="S15" s="1">
        <v>19</v>
      </c>
      <c r="T15" s="1">
        <f t="shared" si="0"/>
        <v>490</v>
      </c>
      <c r="U15" s="1">
        <f t="shared" si="1"/>
        <v>67.58620689655173</v>
      </c>
      <c r="V15" s="1" t="str">
        <f t="shared" si="2"/>
        <v>B</v>
      </c>
      <c r="W15" s="1">
        <f>RANK(U15,U$2:U42)</f>
        <v>6</v>
      </c>
      <c r="X15" s="1"/>
    </row>
    <row r="16" spans="1:24">
      <c r="A16" s="7">
        <v>15</v>
      </c>
      <c r="B16" s="10">
        <v>852</v>
      </c>
      <c r="C16" s="11" t="s">
        <v>60</v>
      </c>
      <c r="D16" s="11" t="s">
        <v>61</v>
      </c>
      <c r="E16" s="11" t="s">
        <v>25</v>
      </c>
      <c r="F16" s="1">
        <v>47</v>
      </c>
      <c r="G16" s="1">
        <v>32</v>
      </c>
      <c r="H16" s="1">
        <v>29</v>
      </c>
      <c r="I16" s="1">
        <v>60</v>
      </c>
      <c r="J16" s="1">
        <v>59</v>
      </c>
      <c r="K16" s="1">
        <v>53</v>
      </c>
      <c r="L16" s="1">
        <v>46</v>
      </c>
      <c r="M16" s="1">
        <v>57</v>
      </c>
      <c r="N16" s="1">
        <v>18</v>
      </c>
      <c r="O16" s="1">
        <v>17</v>
      </c>
      <c r="P16" s="1">
        <v>8</v>
      </c>
      <c r="Q16" s="1">
        <v>8</v>
      </c>
      <c r="R16" s="1">
        <v>18</v>
      </c>
      <c r="S16" s="1">
        <v>18</v>
      </c>
      <c r="T16" s="1">
        <f t="shared" si="0"/>
        <v>470</v>
      </c>
      <c r="U16" s="1">
        <f t="shared" si="1"/>
        <v>64.827586206896541</v>
      </c>
      <c r="V16" s="1" t="str">
        <f t="shared" si="2"/>
        <v>B</v>
      </c>
      <c r="W16" s="1">
        <f>RANK(U16,U$2:U43)</f>
        <v>7</v>
      </c>
      <c r="X16" s="1"/>
    </row>
    <row r="17" spans="1:24">
      <c r="A17" s="7">
        <v>16</v>
      </c>
      <c r="B17" s="10">
        <v>853</v>
      </c>
      <c r="C17" s="11" t="s">
        <v>62</v>
      </c>
      <c r="D17" s="11" t="s">
        <v>63</v>
      </c>
      <c r="E17" s="11" t="s">
        <v>25</v>
      </c>
      <c r="F17" s="1">
        <v>66</v>
      </c>
      <c r="G17" s="1">
        <v>65</v>
      </c>
      <c r="H17" s="1">
        <v>54</v>
      </c>
      <c r="I17" s="1">
        <v>65</v>
      </c>
      <c r="J17" s="1">
        <v>67</v>
      </c>
      <c r="K17" s="1">
        <v>62</v>
      </c>
      <c r="L17" s="1">
        <v>64</v>
      </c>
      <c r="M17" s="1">
        <v>62</v>
      </c>
      <c r="N17" s="1">
        <v>18</v>
      </c>
      <c r="O17" s="1">
        <v>18</v>
      </c>
      <c r="P17" s="1">
        <v>8</v>
      </c>
      <c r="Q17" s="1">
        <v>9</v>
      </c>
      <c r="R17" s="1">
        <v>18</v>
      </c>
      <c r="S17" s="1">
        <v>19</v>
      </c>
      <c r="T17" s="1">
        <f t="shared" si="0"/>
        <v>595</v>
      </c>
      <c r="U17" s="1">
        <f t="shared" si="1"/>
        <v>82.068965517241381</v>
      </c>
      <c r="V17" s="1" t="str">
        <f t="shared" si="2"/>
        <v>A1</v>
      </c>
      <c r="W17" s="1">
        <f>RANK(U17,U$2:U44)</f>
        <v>2</v>
      </c>
      <c r="X17" s="1"/>
    </row>
    <row r="18" spans="1:24">
      <c r="A18" s="7">
        <v>17</v>
      </c>
      <c r="B18" s="10">
        <v>854</v>
      </c>
      <c r="C18" s="11" t="s">
        <v>64</v>
      </c>
      <c r="D18" s="11" t="s">
        <v>65</v>
      </c>
      <c r="E18" s="11" t="s">
        <v>25</v>
      </c>
      <c r="F18" s="1">
        <v>67</v>
      </c>
      <c r="G18" s="1">
        <v>56</v>
      </c>
      <c r="H18" s="1">
        <v>54</v>
      </c>
      <c r="I18" s="1">
        <v>63</v>
      </c>
      <c r="J18" s="1">
        <v>54</v>
      </c>
      <c r="K18" s="1">
        <v>62</v>
      </c>
      <c r="L18" s="1">
        <v>66</v>
      </c>
      <c r="M18" s="1">
        <v>60</v>
      </c>
      <c r="N18" s="1">
        <v>18</v>
      </c>
      <c r="O18" s="1">
        <v>18</v>
      </c>
      <c r="P18" s="1">
        <v>8</v>
      </c>
      <c r="Q18" s="1">
        <v>9</v>
      </c>
      <c r="R18" s="1">
        <v>18</v>
      </c>
      <c r="S18" s="1">
        <v>19</v>
      </c>
      <c r="T18" s="1">
        <f t="shared" si="0"/>
        <v>572</v>
      </c>
      <c r="U18" s="1">
        <f t="shared" si="1"/>
        <v>78.896551724137936</v>
      </c>
      <c r="V18" s="1" t="str">
        <f t="shared" si="2"/>
        <v>A</v>
      </c>
      <c r="W18" s="1">
        <f>RANK(U18,U$2:U45)</f>
        <v>3</v>
      </c>
      <c r="X18" s="1"/>
    </row>
    <row r="19" spans="1:24">
      <c r="A19" s="7">
        <v>18</v>
      </c>
      <c r="B19" s="10">
        <v>855</v>
      </c>
      <c r="C19" s="11" t="s">
        <v>66</v>
      </c>
      <c r="D19" s="11" t="s">
        <v>67</v>
      </c>
      <c r="E19" s="11" t="s">
        <v>68</v>
      </c>
      <c r="F19" s="1">
        <v>27</v>
      </c>
      <c r="G19" s="1">
        <v>28</v>
      </c>
      <c r="H19" s="1">
        <v>29</v>
      </c>
      <c r="I19" s="1">
        <v>50</v>
      </c>
      <c r="J19" s="1">
        <v>28</v>
      </c>
      <c r="K19" s="1">
        <v>30</v>
      </c>
      <c r="L19" s="1">
        <v>30</v>
      </c>
      <c r="M19" s="1" t="s">
        <v>87</v>
      </c>
      <c r="N19" s="1">
        <v>18</v>
      </c>
      <c r="O19" s="1">
        <v>17</v>
      </c>
      <c r="P19" s="1">
        <v>5</v>
      </c>
      <c r="Q19" s="1">
        <v>5</v>
      </c>
      <c r="R19" s="1">
        <v>15</v>
      </c>
      <c r="S19" s="1">
        <v>10</v>
      </c>
      <c r="T19" s="1">
        <f t="shared" si="0"/>
        <v>292</v>
      </c>
      <c r="U19" s="1">
        <f t="shared" si="1"/>
        <v>40.275862068965516</v>
      </c>
      <c r="V19" s="1" t="str">
        <f t="shared" si="2"/>
        <v>D</v>
      </c>
      <c r="W19" s="1">
        <f>RANK(U19,U$2:U46)</f>
        <v>18</v>
      </c>
      <c r="X19" s="1"/>
    </row>
    <row r="20" spans="1:24">
      <c r="A20" s="7">
        <v>19</v>
      </c>
      <c r="B20" s="10">
        <v>856</v>
      </c>
      <c r="C20" s="11" t="s">
        <v>69</v>
      </c>
      <c r="D20" s="11" t="s">
        <v>34</v>
      </c>
      <c r="E20" s="11" t="s">
        <v>25</v>
      </c>
      <c r="F20" s="1">
        <v>26</v>
      </c>
      <c r="G20" s="1">
        <v>29</v>
      </c>
      <c r="H20" s="1">
        <v>27</v>
      </c>
      <c r="I20" s="1">
        <v>40</v>
      </c>
      <c r="J20" s="1">
        <v>30</v>
      </c>
      <c r="K20" s="1">
        <v>25</v>
      </c>
      <c r="L20" s="1">
        <v>27</v>
      </c>
      <c r="M20" s="1" t="s">
        <v>87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f t="shared" si="0"/>
        <v>204</v>
      </c>
      <c r="U20" s="1">
        <f t="shared" si="1"/>
        <v>28.137931034482762</v>
      </c>
      <c r="V20" s="1" t="str">
        <f t="shared" si="2"/>
        <v>FAIL</v>
      </c>
      <c r="W20" s="1">
        <f>RANK(U20,U$2:U47)</f>
        <v>24</v>
      </c>
      <c r="X20" s="1"/>
    </row>
    <row r="21" spans="1:24">
      <c r="A21" s="7">
        <v>20</v>
      </c>
      <c r="B21" s="10">
        <v>857</v>
      </c>
      <c r="C21" s="11" t="s">
        <v>70</v>
      </c>
      <c r="D21" s="11" t="s">
        <v>34</v>
      </c>
      <c r="E21" s="11" t="s">
        <v>25</v>
      </c>
      <c r="F21" s="1">
        <v>27</v>
      </c>
      <c r="G21" s="1">
        <v>29</v>
      </c>
      <c r="H21" s="1">
        <v>26</v>
      </c>
      <c r="I21" s="1">
        <v>42</v>
      </c>
      <c r="J21" s="1">
        <v>44</v>
      </c>
      <c r="K21" s="1">
        <v>30</v>
      </c>
      <c r="L21" s="1">
        <v>30</v>
      </c>
      <c r="M21" s="1">
        <v>35</v>
      </c>
      <c r="N21" s="1">
        <v>10</v>
      </c>
      <c r="O21" s="1">
        <v>15</v>
      </c>
      <c r="P21" s="1">
        <v>5</v>
      </c>
      <c r="Q21" s="1">
        <v>7</v>
      </c>
      <c r="R21" s="1">
        <v>9</v>
      </c>
      <c r="S21" s="1">
        <v>11</v>
      </c>
      <c r="T21" s="1">
        <f t="shared" si="0"/>
        <v>320</v>
      </c>
      <c r="U21" s="1">
        <f t="shared" si="1"/>
        <v>44.137931034482762</v>
      </c>
      <c r="V21" s="1" t="str">
        <f t="shared" si="2"/>
        <v>D</v>
      </c>
      <c r="W21" s="1">
        <f>RANK(U21,U$2:U48)</f>
        <v>17</v>
      </c>
      <c r="X21" s="1"/>
    </row>
    <row r="22" spans="1:24">
      <c r="A22" s="7">
        <v>21</v>
      </c>
      <c r="B22" s="10">
        <v>858</v>
      </c>
      <c r="C22" s="11" t="s">
        <v>71</v>
      </c>
      <c r="D22" s="11" t="s">
        <v>72</v>
      </c>
      <c r="E22" s="11" t="s">
        <v>25</v>
      </c>
      <c r="F22" s="1" t="s">
        <v>87</v>
      </c>
      <c r="G22" s="1" t="s">
        <v>87</v>
      </c>
      <c r="H22" s="1" t="s">
        <v>87</v>
      </c>
      <c r="I22" s="1" t="s">
        <v>87</v>
      </c>
      <c r="J22" s="1" t="s">
        <v>87</v>
      </c>
      <c r="K22" s="1" t="s">
        <v>87</v>
      </c>
      <c r="L22" s="1" t="s">
        <v>87</v>
      </c>
      <c r="M22" s="1" t="s">
        <v>87</v>
      </c>
      <c r="N22" s="1" t="s">
        <v>87</v>
      </c>
      <c r="O22" s="1" t="s">
        <v>87</v>
      </c>
      <c r="P22" s="1" t="s">
        <v>87</v>
      </c>
      <c r="Q22" s="1" t="s">
        <v>87</v>
      </c>
      <c r="R22" s="1" t="s">
        <v>87</v>
      </c>
      <c r="S22" s="1" t="s">
        <v>87</v>
      </c>
      <c r="T22" s="1">
        <f t="shared" si="0"/>
        <v>0</v>
      </c>
      <c r="U22" s="1">
        <f t="shared" si="1"/>
        <v>0</v>
      </c>
      <c r="V22" s="1" t="str">
        <f t="shared" si="2"/>
        <v>FAIL</v>
      </c>
      <c r="W22" s="1">
        <f>RANK(U22,U$2:U49)</f>
        <v>25</v>
      </c>
      <c r="X22" s="1"/>
    </row>
    <row r="23" spans="1:24">
      <c r="A23" s="7">
        <v>22</v>
      </c>
      <c r="B23" s="10">
        <v>859</v>
      </c>
      <c r="C23" s="11" t="s">
        <v>73</v>
      </c>
      <c r="D23" s="11" t="s">
        <v>74</v>
      </c>
      <c r="E23" s="11" t="s">
        <v>25</v>
      </c>
      <c r="F23" s="1">
        <v>54</v>
      </c>
      <c r="G23" s="1">
        <v>57</v>
      </c>
      <c r="H23" s="1">
        <v>38</v>
      </c>
      <c r="I23" s="1">
        <v>61</v>
      </c>
      <c r="J23" s="1">
        <v>63</v>
      </c>
      <c r="K23" s="1">
        <v>54</v>
      </c>
      <c r="L23" s="1">
        <v>48</v>
      </c>
      <c r="M23" s="1">
        <v>57</v>
      </c>
      <c r="N23" s="1">
        <v>15</v>
      </c>
      <c r="O23" s="1">
        <v>14</v>
      </c>
      <c r="P23" s="1">
        <v>7</v>
      </c>
      <c r="Q23" s="1">
        <v>5</v>
      </c>
      <c r="R23" s="1">
        <v>15</v>
      </c>
      <c r="S23" s="1">
        <v>17</v>
      </c>
      <c r="T23" s="1">
        <f t="shared" si="0"/>
        <v>505</v>
      </c>
      <c r="U23" s="1">
        <f t="shared" si="1"/>
        <v>69.655172413793096</v>
      </c>
      <c r="V23" s="1" t="str">
        <f t="shared" si="2"/>
        <v>B</v>
      </c>
      <c r="W23" s="1">
        <f>RANK(U23,U$2:U50)</f>
        <v>5</v>
      </c>
      <c r="X23" s="1"/>
    </row>
    <row r="24" spans="1:24">
      <c r="A24" s="7">
        <v>23</v>
      </c>
      <c r="B24" s="10">
        <v>860</v>
      </c>
      <c r="C24" s="11" t="s">
        <v>75</v>
      </c>
      <c r="D24" s="11" t="s">
        <v>26</v>
      </c>
      <c r="E24" s="11" t="s">
        <v>25</v>
      </c>
      <c r="F24" s="1">
        <v>41</v>
      </c>
      <c r="G24" s="1">
        <v>47</v>
      </c>
      <c r="H24" s="1">
        <v>27</v>
      </c>
      <c r="I24" s="1">
        <v>48</v>
      </c>
      <c r="J24" s="1">
        <v>38</v>
      </c>
      <c r="K24" s="1">
        <v>47</v>
      </c>
      <c r="L24" s="1">
        <v>50</v>
      </c>
      <c r="M24" s="1">
        <v>45</v>
      </c>
      <c r="N24" s="1">
        <v>18</v>
      </c>
      <c r="O24" s="1">
        <v>14</v>
      </c>
      <c r="P24" s="1">
        <v>9</v>
      </c>
      <c r="Q24" s="1">
        <v>9</v>
      </c>
      <c r="R24" s="1">
        <v>15</v>
      </c>
      <c r="S24" s="1">
        <v>17</v>
      </c>
      <c r="T24" s="1">
        <f t="shared" si="0"/>
        <v>425</v>
      </c>
      <c r="U24" s="1">
        <f t="shared" si="1"/>
        <v>58.620689655172406</v>
      </c>
      <c r="V24" s="1" t="str">
        <f t="shared" si="2"/>
        <v>C</v>
      </c>
      <c r="W24" s="1">
        <f>RANK(U24,U$2:U51)</f>
        <v>10</v>
      </c>
      <c r="X24" s="1"/>
    </row>
    <row r="25" spans="1:24">
      <c r="A25" s="7">
        <v>24</v>
      </c>
      <c r="B25" s="10">
        <v>861</v>
      </c>
      <c r="C25" s="11" t="s">
        <v>76</v>
      </c>
      <c r="D25" s="11" t="s">
        <v>77</v>
      </c>
      <c r="E25" s="11" t="s">
        <v>68</v>
      </c>
      <c r="F25" s="1">
        <v>32</v>
      </c>
      <c r="G25" s="1">
        <v>28</v>
      </c>
      <c r="H25" s="1">
        <v>27</v>
      </c>
      <c r="I25" s="1">
        <v>40</v>
      </c>
      <c r="J25" s="1">
        <v>26</v>
      </c>
      <c r="K25" s="1">
        <v>30</v>
      </c>
      <c r="L25" s="1">
        <v>35</v>
      </c>
      <c r="M25" s="1">
        <v>50</v>
      </c>
      <c r="N25" s="1">
        <v>15</v>
      </c>
      <c r="O25" s="1">
        <v>13</v>
      </c>
      <c r="P25" s="1">
        <v>7</v>
      </c>
      <c r="Q25" s="1">
        <v>7</v>
      </c>
      <c r="R25" s="1">
        <v>15</v>
      </c>
      <c r="S25" s="1">
        <v>18</v>
      </c>
      <c r="T25" s="1">
        <f t="shared" si="0"/>
        <v>343</v>
      </c>
      <c r="U25" s="1">
        <f t="shared" si="1"/>
        <v>47.310344827586206</v>
      </c>
      <c r="V25" s="1" t="str">
        <f t="shared" si="2"/>
        <v>D</v>
      </c>
      <c r="W25" s="1">
        <f>RANK(U25,U$2:U52)</f>
        <v>14</v>
      </c>
      <c r="X25" s="1"/>
    </row>
    <row r="26" spans="1:24">
      <c r="A26" s="7">
        <v>25</v>
      </c>
      <c r="B26" s="10">
        <v>862</v>
      </c>
      <c r="C26" s="11" t="s">
        <v>78</v>
      </c>
      <c r="D26" s="11" t="s">
        <v>79</v>
      </c>
      <c r="E26" s="11" t="s">
        <v>25</v>
      </c>
      <c r="F26" s="1">
        <v>64</v>
      </c>
      <c r="G26" s="1">
        <v>64</v>
      </c>
      <c r="H26" s="1">
        <v>64</v>
      </c>
      <c r="I26" s="1">
        <v>68</v>
      </c>
      <c r="J26" s="1">
        <v>65</v>
      </c>
      <c r="K26" s="1">
        <v>64</v>
      </c>
      <c r="L26" s="1">
        <v>66</v>
      </c>
      <c r="M26" s="1">
        <v>62</v>
      </c>
      <c r="N26" s="1">
        <v>18</v>
      </c>
      <c r="O26" s="1">
        <v>18</v>
      </c>
      <c r="P26" s="1">
        <v>9</v>
      </c>
      <c r="Q26" s="1">
        <v>9</v>
      </c>
      <c r="R26" s="1">
        <v>19</v>
      </c>
      <c r="S26" s="1">
        <v>17</v>
      </c>
      <c r="T26" s="1">
        <f t="shared" si="0"/>
        <v>607</v>
      </c>
      <c r="U26" s="1">
        <f t="shared" si="1"/>
        <v>83.724137931034477</v>
      </c>
      <c r="V26" s="1" t="str">
        <f t="shared" si="2"/>
        <v>A1</v>
      </c>
      <c r="W26" s="1">
        <f>RANK(U26,U$2:U53)</f>
        <v>1</v>
      </c>
      <c r="X26" s="1"/>
    </row>
    <row r="27" spans="1:24">
      <c r="A27" s="7">
        <v>26</v>
      </c>
      <c r="B27" s="10">
        <v>863</v>
      </c>
      <c r="C27" s="11" t="s">
        <v>80</v>
      </c>
      <c r="D27" s="11" t="s">
        <v>79</v>
      </c>
      <c r="E27" s="11" t="s">
        <v>25</v>
      </c>
      <c r="F27" s="1">
        <v>30</v>
      </c>
      <c r="G27" s="1">
        <v>28</v>
      </c>
      <c r="H27" s="1">
        <v>27</v>
      </c>
      <c r="I27" s="1">
        <v>41</v>
      </c>
      <c r="J27" s="1">
        <v>29</v>
      </c>
      <c r="K27" s="1">
        <v>30</v>
      </c>
      <c r="L27" s="1">
        <v>35</v>
      </c>
      <c r="M27" s="1">
        <v>55</v>
      </c>
      <c r="N27" s="1">
        <v>18</v>
      </c>
      <c r="O27" s="1">
        <v>17</v>
      </c>
      <c r="P27" s="1">
        <v>8</v>
      </c>
      <c r="Q27" s="1">
        <v>7</v>
      </c>
      <c r="R27" s="1">
        <v>18</v>
      </c>
      <c r="S27" s="1">
        <v>17</v>
      </c>
      <c r="T27" s="1">
        <f t="shared" si="0"/>
        <v>360</v>
      </c>
      <c r="U27" s="1">
        <f t="shared" si="1"/>
        <v>49.655172413793103</v>
      </c>
      <c r="V27" s="1" t="str">
        <f t="shared" si="2"/>
        <v>D</v>
      </c>
      <c r="W27" s="1">
        <f>RANK(U27,U$2:U54)</f>
        <v>13</v>
      </c>
      <c r="X27" s="1"/>
    </row>
    <row r="28" spans="1:24">
      <c r="A28" s="7">
        <v>27</v>
      </c>
      <c r="B28" s="10">
        <v>864</v>
      </c>
      <c r="C28" s="11" t="s">
        <v>81</v>
      </c>
      <c r="D28" s="11" t="s">
        <v>82</v>
      </c>
      <c r="E28" s="11" t="s">
        <v>25</v>
      </c>
      <c r="F28" s="1">
        <v>41</v>
      </c>
      <c r="G28" s="1">
        <v>40</v>
      </c>
      <c r="H28" s="1">
        <v>27</v>
      </c>
      <c r="I28" s="1">
        <v>58</v>
      </c>
      <c r="J28" s="1">
        <v>62</v>
      </c>
      <c r="K28" s="1">
        <v>49</v>
      </c>
      <c r="L28" s="1">
        <v>46</v>
      </c>
      <c r="M28" s="1"/>
      <c r="N28" s="1">
        <v>18</v>
      </c>
      <c r="O28" s="1">
        <v>15</v>
      </c>
      <c r="P28" s="1">
        <v>7</v>
      </c>
      <c r="Q28" s="1">
        <v>6</v>
      </c>
      <c r="R28" s="1">
        <v>9</v>
      </c>
      <c r="S28" s="1">
        <v>10</v>
      </c>
      <c r="T28" s="1">
        <f t="shared" si="0"/>
        <v>388</v>
      </c>
      <c r="U28" s="1">
        <f t="shared" si="1"/>
        <v>53.517241379310342</v>
      </c>
      <c r="V28" s="1" t="str">
        <f t="shared" si="2"/>
        <v>C</v>
      </c>
      <c r="W28" s="1">
        <f>RANK(U28,U$2:U55)</f>
        <v>11</v>
      </c>
      <c r="X28" s="1"/>
    </row>
    <row r="29" spans="1:24">
      <c r="A29" s="7">
        <v>28</v>
      </c>
      <c r="B29" s="10">
        <v>865</v>
      </c>
      <c r="C29" s="11" t="s">
        <v>83</v>
      </c>
      <c r="D29" s="11" t="s">
        <v>84</v>
      </c>
      <c r="E29" s="11" t="s">
        <v>24</v>
      </c>
      <c r="F29" s="1">
        <v>51</v>
      </c>
      <c r="G29" s="1">
        <v>27</v>
      </c>
      <c r="H29" s="1">
        <v>29</v>
      </c>
      <c r="I29" s="1">
        <v>55</v>
      </c>
      <c r="J29" s="1">
        <v>62</v>
      </c>
      <c r="K29" s="1">
        <v>45</v>
      </c>
      <c r="L29" s="1">
        <v>45</v>
      </c>
      <c r="M29" s="1">
        <v>55</v>
      </c>
      <c r="N29" s="1">
        <v>14</v>
      </c>
      <c r="O29" s="1">
        <v>17</v>
      </c>
      <c r="P29" s="1">
        <v>6</v>
      </c>
      <c r="Q29" s="1">
        <v>7</v>
      </c>
      <c r="R29" s="1">
        <v>16</v>
      </c>
      <c r="S29" s="1">
        <v>16</v>
      </c>
      <c r="T29" s="1">
        <f t="shared" si="0"/>
        <v>445</v>
      </c>
      <c r="U29" s="1">
        <f t="shared" si="1"/>
        <v>61.379310344827587</v>
      </c>
      <c r="V29" s="1" t="str">
        <f t="shared" si="2"/>
        <v>B</v>
      </c>
      <c r="W29" s="1">
        <f>RANK(U29,U$2:U56)</f>
        <v>8</v>
      </c>
      <c r="X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2026-03-03T08:56:35Z</cp:lastPrinted>
  <dcterms:created xsi:type="dcterms:W3CDTF">2024-05-23T07:14:03Z</dcterms:created>
  <dcterms:modified xsi:type="dcterms:W3CDTF">2026-07-07T15:27:53Z</dcterms:modified>
</cp:coreProperties>
</file>