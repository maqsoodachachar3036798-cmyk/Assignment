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oral sheets\ALL CLASSES RESULT\"/>
    </mc:Choice>
  </mc:AlternateContent>
  <bookViews>
    <workbookView xWindow="120" yWindow="75" windowWidth="15255" windowHeight="7935" activeTab="1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V5" i="1" l="1"/>
  <c r="W3" i="3" l="1"/>
  <c r="W4" i="3"/>
  <c r="W5" i="3"/>
  <c r="W2" i="3"/>
  <c r="T16" i="3"/>
  <c r="U16" i="3" s="1"/>
  <c r="T15" i="3"/>
  <c r="U15" i="3" s="1"/>
  <c r="T14" i="3"/>
  <c r="U14" i="3" s="1"/>
  <c r="T13" i="3"/>
  <c r="U13" i="3" s="1"/>
  <c r="T12" i="3"/>
  <c r="U12" i="3" s="1"/>
  <c r="T11" i="3"/>
  <c r="U11" i="3" s="1"/>
  <c r="T10" i="3"/>
  <c r="U10" i="3" s="1"/>
  <c r="T9" i="3"/>
  <c r="U9" i="3" s="1"/>
  <c r="T8" i="3"/>
  <c r="U8" i="3" s="1"/>
  <c r="T7" i="3"/>
  <c r="U7" i="3" s="1"/>
  <c r="T6" i="3"/>
  <c r="U6" i="3" s="1"/>
  <c r="T5" i="3"/>
  <c r="U5" i="3" s="1"/>
  <c r="T4" i="3"/>
  <c r="U4" i="3" s="1"/>
  <c r="T3" i="3"/>
  <c r="U3" i="3" s="1"/>
  <c r="T2" i="3"/>
  <c r="U2" i="3" s="1"/>
  <c r="V5" i="3" l="1"/>
  <c r="W13" i="3"/>
  <c r="V13" i="3"/>
  <c r="W6" i="3"/>
  <c r="V6" i="3"/>
  <c r="W10" i="3"/>
  <c r="V10" i="3"/>
  <c r="W14" i="3"/>
  <c r="V14" i="3"/>
  <c r="V2" i="3"/>
  <c r="W7" i="3"/>
  <c r="V7" i="3"/>
  <c r="W11" i="3"/>
  <c r="V11" i="3"/>
  <c r="W15" i="3"/>
  <c r="V15" i="3"/>
  <c r="W9" i="3"/>
  <c r="V9" i="3"/>
  <c r="V3" i="3"/>
  <c r="V4" i="3"/>
  <c r="W8" i="3"/>
  <c r="V8" i="3"/>
  <c r="W12" i="3"/>
  <c r="V12" i="3"/>
  <c r="W16" i="3"/>
  <c r="V16" i="3"/>
  <c r="T6" i="1" l="1"/>
  <c r="T7" i="1"/>
  <c r="U7" i="1" s="1"/>
  <c r="T8" i="1"/>
  <c r="T9" i="1"/>
  <c r="T10" i="1"/>
  <c r="T11" i="1"/>
  <c r="T12" i="1"/>
  <c r="T13" i="1"/>
  <c r="T14" i="1"/>
  <c r="T15" i="1"/>
  <c r="T16" i="1"/>
  <c r="T17" i="1"/>
  <c r="T18" i="1"/>
  <c r="T19" i="1"/>
  <c r="T5" i="1"/>
  <c r="U5" i="1" s="1"/>
  <c r="U16" i="1" l="1"/>
  <c r="U12" i="1"/>
  <c r="U8" i="1"/>
  <c r="U17" i="1"/>
  <c r="U13" i="1"/>
  <c r="U19" i="1"/>
  <c r="W19" i="1" s="1"/>
  <c r="U11" i="1"/>
  <c r="U15" i="1"/>
  <c r="W15" i="1" s="1"/>
  <c r="U18" i="1"/>
  <c r="U14" i="1"/>
  <c r="W14" i="1" s="1"/>
  <c r="U10" i="1"/>
  <c r="U6" i="1"/>
  <c r="W5" i="1" s="1"/>
  <c r="U9" i="1"/>
  <c r="W11" i="1"/>
  <c r="W16" i="1"/>
  <c r="W8" i="1"/>
  <c r="W17" i="1" l="1"/>
  <c r="W12" i="1"/>
  <c r="W7" i="1"/>
  <c r="W18" i="1"/>
  <c r="W13" i="1"/>
  <c r="W6" i="1"/>
  <c r="W9" i="1"/>
  <c r="W10" i="1"/>
</calcChain>
</file>

<file path=xl/sharedStrings.xml><?xml version="1.0" encoding="utf-8"?>
<sst xmlns="http://schemas.openxmlformats.org/spreadsheetml/2006/main" count="219" uniqueCount="65">
  <si>
    <t>ENGLISH</t>
  </si>
  <si>
    <t>SINDHI</t>
  </si>
  <si>
    <t>G.MATHS</t>
  </si>
  <si>
    <t>ISLAMIAT</t>
  </si>
  <si>
    <t>S.STUDIES</t>
  </si>
  <si>
    <t>G.SCIENCE</t>
  </si>
  <si>
    <t>URDU</t>
  </si>
  <si>
    <t>ORAL</t>
  </si>
  <si>
    <t>ATTENDENCE</t>
  </si>
  <si>
    <t>DICIPLINE</t>
  </si>
  <si>
    <t>CLASS PERFORMANCE</t>
  </si>
  <si>
    <t>WRITING</t>
  </si>
  <si>
    <t>COMPLETE COPIES</t>
  </si>
  <si>
    <t>EXTRA ACTIVITIES</t>
  </si>
  <si>
    <t>TOTAL OBT MARKS</t>
  </si>
  <si>
    <t>RESULT</t>
  </si>
  <si>
    <t>S.NO</t>
  </si>
  <si>
    <t>SEAT NO</t>
  </si>
  <si>
    <t>NAME</t>
  </si>
  <si>
    <t>FATHER'S NAME</t>
  </si>
  <si>
    <t>CASTE</t>
  </si>
  <si>
    <t xml:space="preserve">                                                                                                                                                                              GREEN NATIONAL MODEL HIGH SCHOOL ADILPUR                                                                                                                                                                   </t>
  </si>
  <si>
    <t>PERCENTAGE</t>
  </si>
  <si>
    <t>GRADE</t>
  </si>
  <si>
    <t>CHEMISTRY</t>
  </si>
  <si>
    <t>PHYSICS</t>
  </si>
  <si>
    <t>BIOLOGY</t>
  </si>
  <si>
    <t>Abdul Moeed</t>
  </si>
  <si>
    <t>Abdul Rauf</t>
  </si>
  <si>
    <t>Mahar</t>
  </si>
  <si>
    <t>Gul Hassan</t>
  </si>
  <si>
    <t>Ali Hassan</t>
  </si>
  <si>
    <t>Channa</t>
  </si>
  <si>
    <t>Imran Khan</t>
  </si>
  <si>
    <t>Abdul Sami</t>
  </si>
  <si>
    <t>Chachar</t>
  </si>
  <si>
    <t>Muhammad Mubashir</t>
  </si>
  <si>
    <t>Muhammad Hanif</t>
  </si>
  <si>
    <t>Kalwar</t>
  </si>
  <si>
    <t>Shayan Ali</t>
  </si>
  <si>
    <t>Muhammad Pannah</t>
  </si>
  <si>
    <t>Sultan Mehmood</t>
  </si>
  <si>
    <t>Touqeer</t>
  </si>
  <si>
    <t>Abdul Rasheed</t>
  </si>
  <si>
    <t>Abdul Basit</t>
  </si>
  <si>
    <t>Asghar Ali</t>
  </si>
  <si>
    <t>Abdul Majid</t>
  </si>
  <si>
    <t>Kareem bux</t>
  </si>
  <si>
    <t>Yasir Ali</t>
  </si>
  <si>
    <t>Ghulam Yaseen</t>
  </si>
  <si>
    <t>Rashid Hussain</t>
  </si>
  <si>
    <t>Rasheed Ahmed</t>
  </si>
  <si>
    <t>Alisha</t>
  </si>
  <si>
    <t>Bakhtullah</t>
  </si>
  <si>
    <t>Manal</t>
  </si>
  <si>
    <t>Muskan</t>
  </si>
  <si>
    <t>Ghulam Sarwar</t>
  </si>
  <si>
    <t>Tamanna</t>
  </si>
  <si>
    <t>Wajid Ali</t>
  </si>
  <si>
    <t>Dharejo</t>
  </si>
  <si>
    <t>CLASS: TENTH</t>
  </si>
  <si>
    <t>PAK.STUDY</t>
  </si>
  <si>
    <t>RANK</t>
  </si>
  <si>
    <t>A</t>
  </si>
  <si>
    <t>ANNAUL EXAMINATION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</si>
</sst>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Bookman Old Style"/>
      <family val="1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0" fillId="0" borderId="1" xfId="0" applyBorder="1"/>
    <xf numFmtId="0" fontId="2" fillId="0" borderId="1" xfId="1" applyFont="1" applyBorder="1" applyAlignment="1">
      <alignment horizontal="center" vertical="justify" textRotation="90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/>
    </xf>
    <xf numFmtId="0" fontId="0" fillId="0" borderId="0" xfId="0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6" fillId="0" borderId="1" xfId="1" applyFont="1" applyBorder="1" applyAlignment="1">
      <alignment horizontal="center" vertical="justify" textRotation="90"/>
    </xf>
    <xf numFmtId="0" fontId="0" fillId="0" borderId="3" xfId="0" applyFont="1" applyBorder="1" applyAlignment="1">
      <alignment horizontal="left" wrapText="1"/>
    </xf>
    <xf numFmtId="0" fontId="0" fillId="0" borderId="3" xfId="0" applyBorder="1"/>
    <xf numFmtId="0" fontId="0" fillId="0" borderId="3" xfId="0" applyFont="1" applyBorder="1"/>
    <xf numFmtId="0" fontId="0" fillId="0" borderId="1" xfId="0" applyFont="1" applyBorder="1"/>
    <xf numFmtId="0" fontId="0" fillId="0" borderId="1" xfId="0" applyFont="1" applyBorder="1" applyAlignment="1">
      <alignment horizontal="left" wrapText="1"/>
    </xf>
    <xf numFmtId="0" fontId="0" fillId="2" borderId="1" xfId="0" applyFont="1" applyFill="1" applyBorder="1"/>
    <xf numFmtId="0" fontId="0" fillId="2" borderId="1" xfId="0" applyFill="1" applyBorder="1"/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2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9"/>
  <sheetViews>
    <sheetView topLeftCell="A17" zoomScale="90" zoomScaleNormal="90" workbookViewId="0">
      <selection activeCell="C39" sqref="C39"/>
    </sheetView>
  </sheetViews>
  <sheetFormatPr defaultRowHeight="15" x14ac:dyDescent="0.25"/>
  <cols>
    <col min="1" max="1" width="4.28515625" customWidth="1"/>
    <col min="2" max="2" width="7.85546875" bestFit="1" customWidth="1"/>
    <col min="3" max="3" width="20.5703125" customWidth="1"/>
    <col min="4" max="4" width="19.42578125" customWidth="1"/>
    <col min="5" max="5" width="8" customWidth="1"/>
    <col min="6" max="24" width="4.7109375" customWidth="1"/>
  </cols>
  <sheetData>
    <row r="1" spans="1:24" ht="21" x14ac:dyDescent="0.35">
      <c r="A1" s="24" t="s">
        <v>21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24" ht="21" x14ac:dyDescent="0.35">
      <c r="A2" s="25" t="s">
        <v>64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</row>
    <row r="3" spans="1:24" ht="20.25" customHeight="1" x14ac:dyDescent="0.35">
      <c r="A3" s="6"/>
      <c r="B3" s="6"/>
      <c r="C3" s="26" t="s">
        <v>60</v>
      </c>
      <c r="D3" s="26"/>
      <c r="E3" s="26"/>
      <c r="F3" s="26"/>
      <c r="G3" s="26"/>
      <c r="H3" s="2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9"/>
      <c r="U3" s="9"/>
      <c r="V3" s="6"/>
      <c r="W3" s="22"/>
      <c r="X3" s="6"/>
    </row>
    <row r="4" spans="1:24" ht="81.75" customHeight="1" x14ac:dyDescent="0.25">
      <c r="A4" s="8" t="s">
        <v>16</v>
      </c>
      <c r="B4" s="5" t="s">
        <v>17</v>
      </c>
      <c r="C4" s="3" t="s">
        <v>18</v>
      </c>
      <c r="D4" s="3" t="s">
        <v>19</v>
      </c>
      <c r="E4" s="3" t="s">
        <v>20</v>
      </c>
      <c r="F4" s="2" t="s">
        <v>0</v>
      </c>
      <c r="G4" s="2" t="s">
        <v>25</v>
      </c>
      <c r="H4" s="2" t="s">
        <v>2</v>
      </c>
      <c r="I4" s="2" t="s">
        <v>26</v>
      </c>
      <c r="J4" s="2" t="s">
        <v>6</v>
      </c>
      <c r="K4" s="2" t="s">
        <v>24</v>
      </c>
      <c r="L4" s="2" t="s">
        <v>61</v>
      </c>
      <c r="M4" s="2" t="s">
        <v>7</v>
      </c>
      <c r="N4" s="2" t="s">
        <v>8</v>
      </c>
      <c r="O4" s="2" t="s">
        <v>9</v>
      </c>
      <c r="P4" s="2" t="s">
        <v>10</v>
      </c>
      <c r="Q4" s="2" t="s">
        <v>11</v>
      </c>
      <c r="R4" s="2" t="s">
        <v>12</v>
      </c>
      <c r="S4" s="2" t="s">
        <v>13</v>
      </c>
      <c r="T4" s="2" t="s">
        <v>14</v>
      </c>
      <c r="U4" s="2" t="s">
        <v>22</v>
      </c>
      <c r="V4" s="2" t="s">
        <v>23</v>
      </c>
      <c r="W4" s="2" t="s">
        <v>62</v>
      </c>
      <c r="X4" s="2" t="s">
        <v>15</v>
      </c>
    </row>
    <row r="5" spans="1:24" ht="23.1" customHeight="1" x14ac:dyDescent="0.25">
      <c r="A5" s="7">
        <v>1</v>
      </c>
      <c r="B5" s="15">
        <v>103101</v>
      </c>
      <c r="C5" s="16" t="s">
        <v>27</v>
      </c>
      <c r="D5" s="17" t="s">
        <v>28</v>
      </c>
      <c r="E5" s="16" t="s">
        <v>29</v>
      </c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>
        <f>SUM(F5:S5)</f>
        <v>0</v>
      </c>
      <c r="U5" s="23">
        <f>SUM(T5/725*100)</f>
        <v>0</v>
      </c>
      <c r="V5" s="23" t="str">
        <f>IF(U5&gt;79.99,"A1",IF(U5&gt;69.99,"A",IF(U5&gt;59.99,"B",IF(U5&gt;49.99,"C",IF(U5&gt;39.99,"D",IF(U5&gt;32.99,"E","FAIL"))))))</f>
        <v>FAIL</v>
      </c>
      <c r="W5" s="23">
        <f>RANK(U5,U$5:U19)</f>
        <v>1</v>
      </c>
      <c r="X5" s="1"/>
    </row>
    <row r="6" spans="1:24" ht="23.1" customHeight="1" x14ac:dyDescent="0.25">
      <c r="A6" s="7">
        <v>2</v>
      </c>
      <c r="B6" s="15">
        <v>103102</v>
      </c>
      <c r="C6" s="18" t="s">
        <v>30</v>
      </c>
      <c r="D6" s="18" t="s">
        <v>31</v>
      </c>
      <c r="E6" s="1" t="s">
        <v>32</v>
      </c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>
        <f t="shared" ref="T6:T19" si="0">SUM(F6:S6)</f>
        <v>0</v>
      </c>
      <c r="U6" s="23">
        <f t="shared" ref="U6:U19" si="1">SUM(T6/725*100)</f>
        <v>0</v>
      </c>
      <c r="V6" s="23"/>
      <c r="W6" s="23">
        <f>RANK(U6,U$5:U20)</f>
        <v>1</v>
      </c>
      <c r="X6" s="1"/>
    </row>
    <row r="7" spans="1:24" ht="23.1" customHeight="1" x14ac:dyDescent="0.25">
      <c r="A7" s="7">
        <v>3</v>
      </c>
      <c r="B7" s="15">
        <v>103103</v>
      </c>
      <c r="C7" s="18" t="s">
        <v>33</v>
      </c>
      <c r="D7" s="18" t="s">
        <v>34</v>
      </c>
      <c r="E7" s="1" t="s">
        <v>35</v>
      </c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>
        <f t="shared" si="0"/>
        <v>0</v>
      </c>
      <c r="U7" s="23">
        <f t="shared" si="1"/>
        <v>0</v>
      </c>
      <c r="V7" s="23"/>
      <c r="W7" s="23">
        <f>RANK(U7,U$5:U21)</f>
        <v>1</v>
      </c>
      <c r="X7" s="1"/>
    </row>
    <row r="8" spans="1:24" ht="23.1" customHeight="1" x14ac:dyDescent="0.25">
      <c r="A8" s="7">
        <v>4</v>
      </c>
      <c r="B8" s="15">
        <v>103104</v>
      </c>
      <c r="C8" s="18" t="s">
        <v>36</v>
      </c>
      <c r="D8" s="18" t="s">
        <v>37</v>
      </c>
      <c r="E8" s="1" t="s">
        <v>38</v>
      </c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>
        <f t="shared" si="0"/>
        <v>0</v>
      </c>
      <c r="U8" s="23">
        <f t="shared" si="1"/>
        <v>0</v>
      </c>
      <c r="V8" s="23"/>
      <c r="W8" s="23">
        <f>RANK(U8,U$5:U22)</f>
        <v>1</v>
      </c>
      <c r="X8" s="1"/>
    </row>
    <row r="9" spans="1:24" ht="23.1" customHeight="1" x14ac:dyDescent="0.25">
      <c r="A9" s="7">
        <v>5</v>
      </c>
      <c r="B9" s="15">
        <v>103105</v>
      </c>
      <c r="C9" s="18" t="s">
        <v>39</v>
      </c>
      <c r="D9" s="18" t="s">
        <v>40</v>
      </c>
      <c r="E9" s="1" t="s">
        <v>38</v>
      </c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>
        <f t="shared" si="0"/>
        <v>0</v>
      </c>
      <c r="U9" s="23">
        <f t="shared" si="1"/>
        <v>0</v>
      </c>
      <c r="V9" s="23"/>
      <c r="W9" s="23">
        <f>RANK(U9,U$5:U23)</f>
        <v>1</v>
      </c>
      <c r="X9" s="1"/>
    </row>
    <row r="10" spans="1:24" ht="23.1" customHeight="1" x14ac:dyDescent="0.25">
      <c r="A10" s="7">
        <v>6</v>
      </c>
      <c r="B10" s="15">
        <v>103106</v>
      </c>
      <c r="C10" s="18" t="s">
        <v>41</v>
      </c>
      <c r="D10" s="18" t="s">
        <v>34</v>
      </c>
      <c r="E10" s="1" t="s">
        <v>35</v>
      </c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>
        <f t="shared" si="0"/>
        <v>0</v>
      </c>
      <c r="U10" s="23">
        <f t="shared" si="1"/>
        <v>0</v>
      </c>
      <c r="V10" s="23"/>
      <c r="W10" s="23">
        <f>RANK(U10,U$5:U24)</f>
        <v>1</v>
      </c>
      <c r="X10" s="1"/>
    </row>
    <row r="11" spans="1:24" ht="23.1" customHeight="1" x14ac:dyDescent="0.25">
      <c r="A11" s="7">
        <v>7</v>
      </c>
      <c r="B11" s="15">
        <v>103107</v>
      </c>
      <c r="C11" s="18" t="s">
        <v>42</v>
      </c>
      <c r="D11" s="18" t="s">
        <v>43</v>
      </c>
      <c r="E11" s="1" t="s">
        <v>38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>
        <f t="shared" si="0"/>
        <v>0</v>
      </c>
      <c r="U11" s="23">
        <f t="shared" si="1"/>
        <v>0</v>
      </c>
      <c r="V11" s="23"/>
      <c r="W11" s="23">
        <f>RANK(U11,U$5:U25)</f>
        <v>1</v>
      </c>
      <c r="X11" s="1"/>
    </row>
    <row r="12" spans="1:24" ht="23.1" customHeight="1" x14ac:dyDescent="0.25">
      <c r="A12" s="7">
        <v>8</v>
      </c>
      <c r="B12" s="15">
        <v>103108</v>
      </c>
      <c r="C12" s="1" t="s">
        <v>44</v>
      </c>
      <c r="D12" s="1" t="s">
        <v>45</v>
      </c>
      <c r="E12" s="1" t="s">
        <v>38</v>
      </c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>
        <f t="shared" si="0"/>
        <v>0</v>
      </c>
      <c r="U12" s="23">
        <f t="shared" si="1"/>
        <v>0</v>
      </c>
      <c r="V12" s="23"/>
      <c r="W12" s="23">
        <f>RANK(U12,U$5:U26)</f>
        <v>1</v>
      </c>
      <c r="X12" s="1"/>
    </row>
    <row r="13" spans="1:24" ht="23.1" customHeight="1" x14ac:dyDescent="0.25">
      <c r="A13" s="7">
        <v>9</v>
      </c>
      <c r="B13" s="15">
        <v>103109</v>
      </c>
      <c r="C13" s="1" t="s">
        <v>46</v>
      </c>
      <c r="D13" s="1" t="s">
        <v>47</v>
      </c>
      <c r="E13" s="1" t="s">
        <v>38</v>
      </c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>
        <f t="shared" si="0"/>
        <v>0</v>
      </c>
      <c r="U13" s="23">
        <f t="shared" si="1"/>
        <v>0</v>
      </c>
      <c r="V13" s="23"/>
      <c r="W13" s="23">
        <f>RANK(U13,U$5:U27)</f>
        <v>1</v>
      </c>
      <c r="X13" s="1"/>
    </row>
    <row r="14" spans="1:24" ht="23.1" customHeight="1" x14ac:dyDescent="0.25">
      <c r="A14" s="7">
        <v>10</v>
      </c>
      <c r="B14" s="15">
        <v>103110</v>
      </c>
      <c r="C14" s="1" t="s">
        <v>48</v>
      </c>
      <c r="D14" s="1" t="s">
        <v>49</v>
      </c>
      <c r="E14" s="1" t="s">
        <v>38</v>
      </c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>
        <f t="shared" si="0"/>
        <v>0</v>
      </c>
      <c r="U14" s="23">
        <f t="shared" si="1"/>
        <v>0</v>
      </c>
      <c r="V14" s="23"/>
      <c r="W14" s="23">
        <f>RANK(U14,U$5:U28)</f>
        <v>1</v>
      </c>
      <c r="X14" s="1"/>
    </row>
    <row r="15" spans="1:24" ht="23.1" customHeight="1" x14ac:dyDescent="0.25">
      <c r="A15" s="7">
        <v>11</v>
      </c>
      <c r="B15" s="15">
        <v>103111</v>
      </c>
      <c r="C15" s="18" t="s">
        <v>50</v>
      </c>
      <c r="D15" s="18" t="s">
        <v>51</v>
      </c>
      <c r="E15" s="1" t="s">
        <v>35</v>
      </c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>
        <f t="shared" si="0"/>
        <v>0</v>
      </c>
      <c r="U15" s="23">
        <f t="shared" si="1"/>
        <v>0</v>
      </c>
      <c r="V15" s="23"/>
      <c r="W15" s="23">
        <f>RANK(U15,U$5:U29)</f>
        <v>1</v>
      </c>
      <c r="X15" s="1"/>
    </row>
    <row r="16" spans="1:24" ht="23.1" customHeight="1" x14ac:dyDescent="0.25">
      <c r="A16" s="7">
        <v>12</v>
      </c>
      <c r="B16" s="19">
        <v>103151</v>
      </c>
      <c r="C16" s="20" t="s">
        <v>52</v>
      </c>
      <c r="D16" s="20" t="s">
        <v>53</v>
      </c>
      <c r="E16" s="21" t="s">
        <v>38</v>
      </c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>
        <f t="shared" si="0"/>
        <v>0</v>
      </c>
      <c r="U16" s="23">
        <f t="shared" si="1"/>
        <v>0</v>
      </c>
      <c r="V16" s="23"/>
      <c r="W16" s="23">
        <f>RANK(U16,U$5:U30)</f>
        <v>1</v>
      </c>
      <c r="X16" s="1"/>
    </row>
    <row r="17" spans="1:24" ht="23.1" customHeight="1" x14ac:dyDescent="0.25">
      <c r="A17" s="7">
        <v>13</v>
      </c>
      <c r="B17" s="19">
        <v>103152</v>
      </c>
      <c r="C17" s="18" t="s">
        <v>54</v>
      </c>
      <c r="D17" s="18" t="s">
        <v>53</v>
      </c>
      <c r="E17" s="1" t="s">
        <v>38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>
        <f t="shared" si="0"/>
        <v>0</v>
      </c>
      <c r="U17" s="23">
        <f t="shared" si="1"/>
        <v>0</v>
      </c>
      <c r="V17" s="23"/>
      <c r="W17" s="23">
        <f>RANK(U17,U$5:U31)</f>
        <v>1</v>
      </c>
      <c r="X17" s="1"/>
    </row>
    <row r="18" spans="1:24" ht="23.1" customHeight="1" x14ac:dyDescent="0.25">
      <c r="A18" s="7">
        <v>14</v>
      </c>
      <c r="B18" s="19">
        <v>103153</v>
      </c>
      <c r="C18" s="20" t="s">
        <v>55</v>
      </c>
      <c r="D18" s="20" t="s">
        <v>56</v>
      </c>
      <c r="E18" s="21" t="s">
        <v>38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>
        <f t="shared" si="0"/>
        <v>0</v>
      </c>
      <c r="U18" s="23">
        <f t="shared" si="1"/>
        <v>0</v>
      </c>
      <c r="V18" s="23"/>
      <c r="W18" s="23">
        <f>RANK(U18,U$5:U32)</f>
        <v>1</v>
      </c>
      <c r="X18" s="1"/>
    </row>
    <row r="19" spans="1:24" ht="23.1" customHeight="1" x14ac:dyDescent="0.25">
      <c r="A19" s="7">
        <v>15</v>
      </c>
      <c r="B19" s="19">
        <v>103154</v>
      </c>
      <c r="C19" s="18" t="s">
        <v>57</v>
      </c>
      <c r="D19" s="18" t="s">
        <v>58</v>
      </c>
      <c r="E19" s="1" t="s">
        <v>59</v>
      </c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>
        <f t="shared" si="0"/>
        <v>0</v>
      </c>
      <c r="U19" s="23">
        <f t="shared" si="1"/>
        <v>0</v>
      </c>
      <c r="V19" s="23"/>
      <c r="W19" s="23">
        <f>RANK(U19,U$5:U33)</f>
        <v>1</v>
      </c>
      <c r="X19" s="1"/>
    </row>
  </sheetData>
  <mergeCells count="4">
    <mergeCell ref="A1:X1"/>
    <mergeCell ref="A2:X2"/>
    <mergeCell ref="C3:D3"/>
    <mergeCell ref="E3:H3"/>
  </mergeCells>
  <pageMargins left="0.25" right="0.25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W18"/>
  <sheetViews>
    <sheetView tabSelected="1" topLeftCell="D1" zoomScaleNormal="100" workbookViewId="0">
      <selection activeCell="D6" sqref="D6"/>
    </sheetView>
  </sheetViews>
  <sheetFormatPr defaultRowHeight="15" x14ac:dyDescent="0.25"/>
  <cols>
    <col min="1" max="1" width="5.42578125" bestFit="1" customWidth="1"/>
    <col min="2" max="2" width="7.5703125" customWidth="1"/>
    <col min="3" max="3" width="25.5703125" customWidth="1"/>
    <col min="4" max="4" width="23.42578125" customWidth="1"/>
    <col min="5" max="5" width="6.42578125" bestFit="1" customWidth="1"/>
    <col min="6" max="23" width="4.7109375" customWidth="1"/>
  </cols>
  <sheetData>
    <row r="3" spans="1:23" s="10" customFormat="1" ht="100.5" customHeight="1" x14ac:dyDescent="0.25">
      <c r="A3" s="11" t="s">
        <v>16</v>
      </c>
      <c r="B3" s="12" t="s">
        <v>17</v>
      </c>
      <c r="C3" s="13" t="s">
        <v>18</v>
      </c>
      <c r="D3" s="13" t="s">
        <v>19</v>
      </c>
      <c r="E3" s="13" t="s">
        <v>20</v>
      </c>
      <c r="F3" s="14" t="s">
        <v>0</v>
      </c>
      <c r="G3" s="14" t="s">
        <v>1</v>
      </c>
      <c r="H3" s="14" t="s">
        <v>2</v>
      </c>
      <c r="I3" s="14" t="s">
        <v>3</v>
      </c>
      <c r="J3" s="14" t="s">
        <v>4</v>
      </c>
      <c r="K3" s="14" t="s">
        <v>5</v>
      </c>
      <c r="L3" s="14" t="s">
        <v>6</v>
      </c>
      <c r="M3" s="14" t="s">
        <v>7</v>
      </c>
      <c r="N3" s="14" t="s">
        <v>8</v>
      </c>
      <c r="O3" s="14" t="s">
        <v>9</v>
      </c>
      <c r="P3" s="14" t="s">
        <v>10</v>
      </c>
      <c r="Q3" s="14" t="s">
        <v>11</v>
      </c>
      <c r="R3" s="14" t="s">
        <v>12</v>
      </c>
      <c r="S3" s="14" t="s">
        <v>13</v>
      </c>
      <c r="T3" s="14" t="s">
        <v>14</v>
      </c>
      <c r="U3" s="14" t="s">
        <v>22</v>
      </c>
      <c r="V3" s="14" t="s">
        <v>23</v>
      </c>
      <c r="W3" s="14" t="s">
        <v>15</v>
      </c>
    </row>
    <row r="4" spans="1:23" ht="23.1" customHeight="1" x14ac:dyDescent="0.25">
      <c r="A4" s="7">
        <v>1</v>
      </c>
      <c r="B4" s="4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3.1" customHeight="1" x14ac:dyDescent="0.25">
      <c r="A5" s="7">
        <v>2</v>
      </c>
      <c r="B5" s="4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23.1" customHeight="1" x14ac:dyDescent="0.25">
      <c r="A6" s="7">
        <v>3</v>
      </c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23.1" customHeight="1" x14ac:dyDescent="0.25">
      <c r="A7" s="7">
        <v>4</v>
      </c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23.1" customHeight="1" x14ac:dyDescent="0.25">
      <c r="A8" s="7">
        <v>5</v>
      </c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23.1" customHeight="1" x14ac:dyDescent="0.25">
      <c r="A9" s="7">
        <v>6</v>
      </c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23.1" customHeight="1" x14ac:dyDescent="0.25">
      <c r="A10" s="7">
        <v>7</v>
      </c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23.1" customHeight="1" x14ac:dyDescent="0.25">
      <c r="A11" s="7">
        <v>8</v>
      </c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23.1" customHeight="1" x14ac:dyDescent="0.25">
      <c r="A12" s="7">
        <v>9</v>
      </c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23.1" customHeight="1" x14ac:dyDescent="0.25">
      <c r="A13" s="7">
        <v>10</v>
      </c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23.1" customHeight="1" x14ac:dyDescent="0.25">
      <c r="A14" s="7">
        <v>11</v>
      </c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23.1" customHeight="1" x14ac:dyDescent="0.25">
      <c r="A15" s="7">
        <v>12</v>
      </c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23.1" customHeight="1" x14ac:dyDescent="0.25">
      <c r="A16" s="7">
        <v>13</v>
      </c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23.1" customHeight="1" x14ac:dyDescent="0.25">
      <c r="A17" s="7">
        <v>14</v>
      </c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23.1" customHeight="1" x14ac:dyDescent="0.25">
      <c r="A18" s="7">
        <v>15</v>
      </c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</sheetData>
  <pageMargins left="0.25" right="0.25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topLeftCell="H1" workbookViewId="0">
      <selection activeCell="C6" sqref="C6"/>
    </sheetView>
  </sheetViews>
  <sheetFormatPr defaultRowHeight="15" x14ac:dyDescent="0.25"/>
  <cols>
    <col min="3" max="3" width="20.5703125" bestFit="1" customWidth="1"/>
    <col min="4" max="4" width="18.85546875" bestFit="1" customWidth="1"/>
  </cols>
  <sheetData>
    <row r="1" spans="1:24" ht="50.25" x14ac:dyDescent="0.25">
      <c r="A1" s="8" t="s">
        <v>16</v>
      </c>
      <c r="B1" s="5" t="s">
        <v>17</v>
      </c>
      <c r="C1" s="3" t="s">
        <v>18</v>
      </c>
      <c r="D1" s="3" t="s">
        <v>19</v>
      </c>
      <c r="E1" s="3" t="s">
        <v>20</v>
      </c>
      <c r="F1" s="2" t="s">
        <v>0</v>
      </c>
      <c r="G1" s="2" t="s">
        <v>25</v>
      </c>
      <c r="H1" s="2" t="s">
        <v>2</v>
      </c>
      <c r="I1" s="2" t="s">
        <v>26</v>
      </c>
      <c r="J1" s="2" t="s">
        <v>6</v>
      </c>
      <c r="K1" s="2" t="s">
        <v>24</v>
      </c>
      <c r="L1" s="2" t="s">
        <v>61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22</v>
      </c>
      <c r="V1" s="2" t="s">
        <v>23</v>
      </c>
      <c r="W1" s="2" t="s">
        <v>62</v>
      </c>
      <c r="X1" s="2" t="s">
        <v>15</v>
      </c>
    </row>
    <row r="2" spans="1:24" x14ac:dyDescent="0.25">
      <c r="A2" s="7">
        <v>1</v>
      </c>
      <c r="B2" s="15">
        <v>103101</v>
      </c>
      <c r="C2" s="16" t="s">
        <v>27</v>
      </c>
      <c r="D2" s="17" t="s">
        <v>28</v>
      </c>
      <c r="E2" s="16" t="s">
        <v>29</v>
      </c>
      <c r="F2" s="23">
        <v>26</v>
      </c>
      <c r="G2" s="23">
        <v>25</v>
      </c>
      <c r="H2" s="23">
        <v>27</v>
      </c>
      <c r="I2" s="23">
        <v>50</v>
      </c>
      <c r="J2" s="23">
        <v>31</v>
      </c>
      <c r="K2" s="23">
        <v>45</v>
      </c>
      <c r="L2" s="23">
        <v>30</v>
      </c>
      <c r="M2" s="23" t="s">
        <v>63</v>
      </c>
      <c r="N2" s="23">
        <v>10</v>
      </c>
      <c r="O2" s="23">
        <v>16</v>
      </c>
      <c r="P2" s="23">
        <v>7</v>
      </c>
      <c r="Q2" s="23">
        <v>7</v>
      </c>
      <c r="R2" s="23">
        <v>10</v>
      </c>
      <c r="S2" s="23">
        <v>10</v>
      </c>
      <c r="T2" s="23">
        <f>SUM(F2:S2)</f>
        <v>294</v>
      </c>
      <c r="U2" s="23">
        <f>SUM(T2/725*100)</f>
        <v>40.551724137931032</v>
      </c>
      <c r="V2" s="23" t="str">
        <f>IF(U2&gt;79.99,"A1",IF(U2&gt;69.99,"A",IF(U2&gt;59.99,"B",IF(U2&gt;49.99,"C",IF(U2&gt;39.99,"D",IF(U2&gt;32.99,"E","FAIL"))))))</f>
        <v>D</v>
      </c>
      <c r="W2" s="23" t="e">
        <f>RANK(U2,U$5:U16)</f>
        <v>#N/A</v>
      </c>
      <c r="X2" s="1"/>
    </row>
    <row r="3" spans="1:24" x14ac:dyDescent="0.25">
      <c r="A3" s="7">
        <v>2</v>
      </c>
      <c r="B3" s="15">
        <v>103102</v>
      </c>
      <c r="C3" s="18" t="s">
        <v>30</v>
      </c>
      <c r="D3" s="18" t="s">
        <v>31</v>
      </c>
      <c r="E3" s="1" t="s">
        <v>32</v>
      </c>
      <c r="F3" s="23">
        <v>26</v>
      </c>
      <c r="G3" s="23">
        <v>27</v>
      </c>
      <c r="H3" s="23" t="s">
        <v>63</v>
      </c>
      <c r="I3" s="23">
        <v>41</v>
      </c>
      <c r="J3" s="23">
        <v>25</v>
      </c>
      <c r="K3" s="23">
        <v>33</v>
      </c>
      <c r="L3" s="23" t="s">
        <v>63</v>
      </c>
      <c r="M3" s="23" t="s">
        <v>63</v>
      </c>
      <c r="N3" s="23">
        <v>10</v>
      </c>
      <c r="O3" s="23">
        <v>10</v>
      </c>
      <c r="P3" s="23">
        <v>5</v>
      </c>
      <c r="Q3" s="23">
        <v>5</v>
      </c>
      <c r="R3" s="23">
        <v>10</v>
      </c>
      <c r="S3" s="23">
        <v>10</v>
      </c>
      <c r="T3" s="23">
        <f t="shared" ref="T3:T16" si="0">SUM(F3:S3)</f>
        <v>202</v>
      </c>
      <c r="U3" s="23">
        <f t="shared" ref="U3:U16" si="1">SUM(T3/725*100)</f>
        <v>27.862068965517238</v>
      </c>
      <c r="V3" s="23" t="str">
        <f t="shared" ref="V3:V16" si="2">IF(U3&gt;79.99,"A1",IF(U3&gt;69.99,"A",IF(U3&gt;59.99,"B",IF(U3&gt;49.99,"C",IF(U3&gt;39.99,"D",IF(U3&gt;32.99,"E","FAIL"))))))</f>
        <v>FAIL</v>
      </c>
      <c r="W3" s="23" t="e">
        <f>RANK(U3,U$5:U17)</f>
        <v>#N/A</v>
      </c>
      <c r="X3" s="1"/>
    </row>
    <row r="4" spans="1:24" x14ac:dyDescent="0.25">
      <c r="A4" s="7">
        <v>3</v>
      </c>
      <c r="B4" s="15">
        <v>103103</v>
      </c>
      <c r="C4" s="18" t="s">
        <v>33</v>
      </c>
      <c r="D4" s="18" t="s">
        <v>34</v>
      </c>
      <c r="E4" s="1" t="s">
        <v>35</v>
      </c>
      <c r="F4" s="23">
        <v>25</v>
      </c>
      <c r="G4" s="23">
        <v>27</v>
      </c>
      <c r="H4" s="23">
        <v>26</v>
      </c>
      <c r="I4" s="23">
        <v>40</v>
      </c>
      <c r="J4" s="23">
        <v>27</v>
      </c>
      <c r="K4" s="23">
        <v>27</v>
      </c>
      <c r="L4" s="23">
        <v>32</v>
      </c>
      <c r="M4" s="23" t="s">
        <v>63</v>
      </c>
      <c r="N4" s="23">
        <v>12</v>
      </c>
      <c r="O4" s="23">
        <v>10</v>
      </c>
      <c r="P4" s="23">
        <v>5</v>
      </c>
      <c r="Q4" s="23">
        <v>5</v>
      </c>
      <c r="R4" s="23">
        <v>8</v>
      </c>
      <c r="S4" s="23">
        <v>5</v>
      </c>
      <c r="T4" s="23">
        <f t="shared" si="0"/>
        <v>249</v>
      </c>
      <c r="U4" s="23">
        <f t="shared" si="1"/>
        <v>34.344827586206897</v>
      </c>
      <c r="V4" s="23" t="str">
        <f t="shared" si="2"/>
        <v>E</v>
      </c>
      <c r="W4" s="23" t="e">
        <f>RANK(U4,U$5:U18)</f>
        <v>#N/A</v>
      </c>
      <c r="X4" s="1"/>
    </row>
    <row r="5" spans="1:24" x14ac:dyDescent="0.25">
      <c r="A5" s="7">
        <v>4</v>
      </c>
      <c r="B5" s="15">
        <v>103104</v>
      </c>
      <c r="C5" s="18" t="s">
        <v>36</v>
      </c>
      <c r="D5" s="18" t="s">
        <v>37</v>
      </c>
      <c r="E5" s="1" t="s">
        <v>38</v>
      </c>
      <c r="F5" s="23">
        <v>45</v>
      </c>
      <c r="G5" s="23">
        <v>45</v>
      </c>
      <c r="H5" s="23">
        <v>27</v>
      </c>
      <c r="I5" s="23">
        <v>58</v>
      </c>
      <c r="J5" s="23">
        <v>31</v>
      </c>
      <c r="K5" s="23">
        <v>55</v>
      </c>
      <c r="L5" s="23">
        <v>59</v>
      </c>
      <c r="M5" s="23" t="s">
        <v>63</v>
      </c>
      <c r="N5" s="23">
        <v>10</v>
      </c>
      <c r="O5" s="23">
        <v>15</v>
      </c>
      <c r="P5" s="23">
        <v>8</v>
      </c>
      <c r="Q5" s="23">
        <v>7</v>
      </c>
      <c r="R5" s="23">
        <v>10</v>
      </c>
      <c r="S5" s="23">
        <v>10</v>
      </c>
      <c r="T5" s="23">
        <f t="shared" si="0"/>
        <v>380</v>
      </c>
      <c r="U5" s="23">
        <f t="shared" si="1"/>
        <v>52.413793103448278</v>
      </c>
      <c r="V5" s="23" t="str">
        <f t="shared" si="2"/>
        <v>C</v>
      </c>
      <c r="W5" s="23">
        <f>RANK(U5,U$5:U19)</f>
        <v>5</v>
      </c>
      <c r="X5" s="1"/>
    </row>
    <row r="6" spans="1:24" x14ac:dyDescent="0.25">
      <c r="A6" s="7">
        <v>5</v>
      </c>
      <c r="B6" s="15">
        <v>103105</v>
      </c>
      <c r="C6" s="18" t="s">
        <v>39</v>
      </c>
      <c r="D6" s="18" t="s">
        <v>40</v>
      </c>
      <c r="E6" s="1" t="s">
        <v>38</v>
      </c>
      <c r="F6" s="23">
        <v>55</v>
      </c>
      <c r="G6" s="23">
        <v>58</v>
      </c>
      <c r="H6" s="23">
        <v>50</v>
      </c>
      <c r="I6" s="23">
        <v>58</v>
      </c>
      <c r="J6" s="23">
        <v>59</v>
      </c>
      <c r="K6" s="23">
        <v>55</v>
      </c>
      <c r="L6" s="23">
        <v>51</v>
      </c>
      <c r="M6" s="23">
        <v>58</v>
      </c>
      <c r="N6" s="23">
        <v>17</v>
      </c>
      <c r="O6" s="23">
        <v>17</v>
      </c>
      <c r="P6" s="23">
        <v>8</v>
      </c>
      <c r="Q6" s="23">
        <v>8</v>
      </c>
      <c r="R6" s="23">
        <v>9</v>
      </c>
      <c r="S6" s="23">
        <v>10</v>
      </c>
      <c r="T6" s="23">
        <f t="shared" si="0"/>
        <v>513</v>
      </c>
      <c r="U6" s="23">
        <f t="shared" si="1"/>
        <v>70.758620689655174</v>
      </c>
      <c r="V6" s="23" t="str">
        <f t="shared" si="2"/>
        <v>A</v>
      </c>
      <c r="W6" s="23">
        <f>RANK(U6,U$5:U20)</f>
        <v>3</v>
      </c>
      <c r="X6" s="1"/>
    </row>
    <row r="7" spans="1:24" x14ac:dyDescent="0.25">
      <c r="A7" s="7">
        <v>6</v>
      </c>
      <c r="B7" s="15">
        <v>103106</v>
      </c>
      <c r="C7" s="18" t="s">
        <v>41</v>
      </c>
      <c r="D7" s="18" t="s">
        <v>34</v>
      </c>
      <c r="E7" s="1" t="s">
        <v>35</v>
      </c>
      <c r="F7" s="23">
        <v>25</v>
      </c>
      <c r="G7" s="23">
        <v>34</v>
      </c>
      <c r="H7" s="23">
        <v>39</v>
      </c>
      <c r="I7" s="23">
        <v>40</v>
      </c>
      <c r="J7" s="23">
        <v>33</v>
      </c>
      <c r="K7" s="23">
        <v>27</v>
      </c>
      <c r="L7" s="23">
        <v>48</v>
      </c>
      <c r="M7" s="23" t="s">
        <v>63</v>
      </c>
      <c r="N7" s="23">
        <v>12</v>
      </c>
      <c r="O7" s="23">
        <v>10</v>
      </c>
      <c r="P7" s="23">
        <v>5</v>
      </c>
      <c r="Q7" s="23">
        <v>6</v>
      </c>
      <c r="R7" s="23">
        <v>10</v>
      </c>
      <c r="S7" s="23">
        <v>10</v>
      </c>
      <c r="T7" s="23">
        <f t="shared" si="0"/>
        <v>299</v>
      </c>
      <c r="U7" s="23">
        <f t="shared" si="1"/>
        <v>41.241379310344826</v>
      </c>
      <c r="V7" s="23" t="str">
        <f t="shared" si="2"/>
        <v>D</v>
      </c>
      <c r="W7" s="23">
        <f>RANK(U7,U$5:U21)</f>
        <v>6</v>
      </c>
      <c r="X7" s="1"/>
    </row>
    <row r="8" spans="1:24" x14ac:dyDescent="0.25">
      <c r="A8" s="7">
        <v>7</v>
      </c>
      <c r="B8" s="15">
        <v>103107</v>
      </c>
      <c r="C8" s="18" t="s">
        <v>42</v>
      </c>
      <c r="D8" s="18" t="s">
        <v>43</v>
      </c>
      <c r="E8" s="1" t="s">
        <v>38</v>
      </c>
      <c r="F8" s="23">
        <v>27</v>
      </c>
      <c r="G8" s="23">
        <v>28</v>
      </c>
      <c r="H8" s="23">
        <v>25</v>
      </c>
      <c r="I8" s="23">
        <v>47</v>
      </c>
      <c r="J8" s="23">
        <v>26</v>
      </c>
      <c r="K8" s="23">
        <v>30</v>
      </c>
      <c r="L8" s="23">
        <v>27</v>
      </c>
      <c r="M8" s="23" t="s">
        <v>63</v>
      </c>
      <c r="N8" s="23">
        <v>14</v>
      </c>
      <c r="O8" s="23">
        <v>12</v>
      </c>
      <c r="P8" s="23">
        <v>6</v>
      </c>
      <c r="Q8" s="23">
        <v>5</v>
      </c>
      <c r="R8" s="23">
        <v>10</v>
      </c>
      <c r="S8" s="23">
        <v>10</v>
      </c>
      <c r="T8" s="23">
        <f t="shared" si="0"/>
        <v>267</v>
      </c>
      <c r="U8" s="23">
        <f t="shared" si="1"/>
        <v>36.827586206896548</v>
      </c>
      <c r="V8" s="23" t="str">
        <f t="shared" si="2"/>
        <v>E</v>
      </c>
      <c r="W8" s="23">
        <f>RANK(U8,U$5:U22)</f>
        <v>7</v>
      </c>
      <c r="X8" s="1"/>
    </row>
    <row r="9" spans="1:24" x14ac:dyDescent="0.25">
      <c r="A9" s="7">
        <v>8</v>
      </c>
      <c r="B9" s="15">
        <v>103108</v>
      </c>
      <c r="C9" s="1" t="s">
        <v>44</v>
      </c>
      <c r="D9" s="1" t="s">
        <v>45</v>
      </c>
      <c r="E9" s="1" t="s">
        <v>38</v>
      </c>
      <c r="F9" s="23">
        <v>27</v>
      </c>
      <c r="G9" s="23" t="s">
        <v>63</v>
      </c>
      <c r="H9" s="23">
        <v>25</v>
      </c>
      <c r="I9" s="23">
        <v>29</v>
      </c>
      <c r="J9" s="23" t="s">
        <v>63</v>
      </c>
      <c r="K9" s="23" t="s">
        <v>63</v>
      </c>
      <c r="L9" s="23">
        <v>28</v>
      </c>
      <c r="M9" s="23" t="s">
        <v>63</v>
      </c>
      <c r="N9" s="23">
        <v>16</v>
      </c>
      <c r="O9" s="23">
        <v>12</v>
      </c>
      <c r="P9" s="23">
        <v>6</v>
      </c>
      <c r="Q9" s="23">
        <v>5</v>
      </c>
      <c r="R9" s="23">
        <v>10</v>
      </c>
      <c r="S9" s="23">
        <v>12</v>
      </c>
      <c r="T9" s="23">
        <f t="shared" si="0"/>
        <v>170</v>
      </c>
      <c r="U9" s="23">
        <f t="shared" si="1"/>
        <v>23.448275862068964</v>
      </c>
      <c r="V9" s="23" t="str">
        <f t="shared" si="2"/>
        <v>FAIL</v>
      </c>
      <c r="W9" s="23">
        <f>RANK(U9,U$5:U23)</f>
        <v>9</v>
      </c>
      <c r="X9" s="1"/>
    </row>
    <row r="10" spans="1:24" x14ac:dyDescent="0.25">
      <c r="A10" s="7">
        <v>9</v>
      </c>
      <c r="B10" s="15">
        <v>103109</v>
      </c>
      <c r="C10" s="1" t="s">
        <v>46</v>
      </c>
      <c r="D10" s="1" t="s">
        <v>47</v>
      </c>
      <c r="E10" s="1" t="s">
        <v>38</v>
      </c>
      <c r="F10" s="23" t="s">
        <v>63</v>
      </c>
      <c r="G10" s="23" t="s">
        <v>63</v>
      </c>
      <c r="H10" s="23" t="s">
        <v>63</v>
      </c>
      <c r="I10" s="23" t="s">
        <v>63</v>
      </c>
      <c r="J10" s="23" t="s">
        <v>63</v>
      </c>
      <c r="K10" s="23" t="s">
        <v>63</v>
      </c>
      <c r="L10" s="23" t="s">
        <v>63</v>
      </c>
      <c r="M10" s="23" t="s">
        <v>63</v>
      </c>
      <c r="N10" s="23" t="s">
        <v>63</v>
      </c>
      <c r="O10" s="23" t="s">
        <v>63</v>
      </c>
      <c r="P10" s="23" t="s">
        <v>63</v>
      </c>
      <c r="Q10" s="23" t="s">
        <v>63</v>
      </c>
      <c r="R10" s="23" t="s">
        <v>63</v>
      </c>
      <c r="S10" s="23" t="s">
        <v>63</v>
      </c>
      <c r="T10" s="23">
        <f t="shared" si="0"/>
        <v>0</v>
      </c>
      <c r="U10" s="23">
        <f t="shared" si="1"/>
        <v>0</v>
      </c>
      <c r="V10" s="23" t="str">
        <f t="shared" si="2"/>
        <v>FAIL</v>
      </c>
      <c r="W10" s="23">
        <f>RANK(U10,U$5:U24)</f>
        <v>10</v>
      </c>
      <c r="X10" s="1"/>
    </row>
    <row r="11" spans="1:24" x14ac:dyDescent="0.25">
      <c r="A11" s="7">
        <v>10</v>
      </c>
      <c r="B11" s="15">
        <v>103110</v>
      </c>
      <c r="C11" s="1" t="s">
        <v>48</v>
      </c>
      <c r="D11" s="1" t="s">
        <v>49</v>
      </c>
      <c r="E11" s="1" t="s">
        <v>38</v>
      </c>
      <c r="F11" s="23">
        <v>33</v>
      </c>
      <c r="G11" s="23">
        <v>25</v>
      </c>
      <c r="H11" s="23">
        <v>28</v>
      </c>
      <c r="I11" s="23">
        <v>30</v>
      </c>
      <c r="J11" s="23">
        <v>27</v>
      </c>
      <c r="K11" s="23">
        <v>30</v>
      </c>
      <c r="L11" s="23">
        <v>25</v>
      </c>
      <c r="M11" s="23" t="s">
        <v>63</v>
      </c>
      <c r="N11" s="23">
        <v>10</v>
      </c>
      <c r="O11" s="23">
        <v>18</v>
      </c>
      <c r="P11" s="23">
        <v>6</v>
      </c>
      <c r="Q11" s="23">
        <v>8</v>
      </c>
      <c r="R11" s="23">
        <v>10</v>
      </c>
      <c r="S11" s="23">
        <v>10</v>
      </c>
      <c r="T11" s="23">
        <f t="shared" si="0"/>
        <v>260</v>
      </c>
      <c r="U11" s="23">
        <f t="shared" si="1"/>
        <v>35.862068965517238</v>
      </c>
      <c r="V11" s="23" t="str">
        <f t="shared" si="2"/>
        <v>E</v>
      </c>
      <c r="W11" s="23">
        <f>RANK(U11,U$5:U25)</f>
        <v>8</v>
      </c>
      <c r="X11" s="1"/>
    </row>
    <row r="12" spans="1:24" x14ac:dyDescent="0.25">
      <c r="A12" s="7">
        <v>11</v>
      </c>
      <c r="B12" s="15">
        <v>103111</v>
      </c>
      <c r="C12" s="18" t="s">
        <v>50</v>
      </c>
      <c r="D12" s="18" t="s">
        <v>51</v>
      </c>
      <c r="E12" s="1" t="s">
        <v>35</v>
      </c>
      <c r="F12" s="23" t="s">
        <v>63</v>
      </c>
      <c r="G12" s="23" t="s">
        <v>63</v>
      </c>
      <c r="H12" s="23" t="s">
        <v>63</v>
      </c>
      <c r="I12" s="23" t="s">
        <v>63</v>
      </c>
      <c r="J12" s="23" t="s">
        <v>63</v>
      </c>
      <c r="K12" s="23" t="s">
        <v>63</v>
      </c>
      <c r="L12" s="23" t="s">
        <v>63</v>
      </c>
      <c r="M12" s="23" t="s">
        <v>63</v>
      </c>
      <c r="N12" s="23" t="s">
        <v>63</v>
      </c>
      <c r="O12" s="23" t="s">
        <v>63</v>
      </c>
      <c r="P12" s="23" t="s">
        <v>63</v>
      </c>
      <c r="Q12" s="23" t="s">
        <v>63</v>
      </c>
      <c r="R12" s="23" t="s">
        <v>63</v>
      </c>
      <c r="S12" s="23" t="s">
        <v>63</v>
      </c>
      <c r="T12" s="23">
        <f t="shared" si="0"/>
        <v>0</v>
      </c>
      <c r="U12" s="23">
        <f t="shared" si="1"/>
        <v>0</v>
      </c>
      <c r="V12" s="23" t="str">
        <f t="shared" si="2"/>
        <v>FAIL</v>
      </c>
      <c r="W12" s="23">
        <f>RANK(U12,U$5:U26)</f>
        <v>10</v>
      </c>
      <c r="X12" s="1"/>
    </row>
    <row r="13" spans="1:24" x14ac:dyDescent="0.25">
      <c r="A13" s="7">
        <v>12</v>
      </c>
      <c r="B13" s="19">
        <v>103151</v>
      </c>
      <c r="C13" s="20" t="s">
        <v>52</v>
      </c>
      <c r="D13" s="20" t="s">
        <v>53</v>
      </c>
      <c r="E13" s="21" t="s">
        <v>38</v>
      </c>
      <c r="F13" s="23">
        <v>56</v>
      </c>
      <c r="G13" s="23">
        <v>65</v>
      </c>
      <c r="H13" s="23">
        <v>58</v>
      </c>
      <c r="I13" s="23">
        <v>58</v>
      </c>
      <c r="J13" s="23">
        <v>57</v>
      </c>
      <c r="K13" s="23">
        <v>55</v>
      </c>
      <c r="L13" s="23">
        <v>59</v>
      </c>
      <c r="M13" s="23">
        <v>60</v>
      </c>
      <c r="N13" s="23">
        <v>17</v>
      </c>
      <c r="O13" s="23">
        <v>18</v>
      </c>
      <c r="P13" s="23">
        <v>9</v>
      </c>
      <c r="Q13" s="23">
        <v>9</v>
      </c>
      <c r="R13" s="23">
        <v>17</v>
      </c>
      <c r="S13" s="23">
        <v>15</v>
      </c>
      <c r="T13" s="23">
        <f t="shared" si="0"/>
        <v>553</v>
      </c>
      <c r="U13" s="23">
        <f t="shared" si="1"/>
        <v>76.275862068965523</v>
      </c>
      <c r="V13" s="23" t="str">
        <f t="shared" si="2"/>
        <v>A</v>
      </c>
      <c r="W13" s="23">
        <f>RANK(U13,U$5:U27)</f>
        <v>2</v>
      </c>
      <c r="X13" s="1"/>
    </row>
    <row r="14" spans="1:24" x14ac:dyDescent="0.25">
      <c r="A14" s="7">
        <v>13</v>
      </c>
      <c r="B14" s="19">
        <v>103152</v>
      </c>
      <c r="C14" s="18" t="s">
        <v>54</v>
      </c>
      <c r="D14" s="18" t="s">
        <v>53</v>
      </c>
      <c r="E14" s="1" t="s">
        <v>38</v>
      </c>
      <c r="F14" s="23">
        <v>48</v>
      </c>
      <c r="G14" s="23">
        <v>30</v>
      </c>
      <c r="H14" s="23">
        <v>35</v>
      </c>
      <c r="I14" s="23">
        <v>52</v>
      </c>
      <c r="J14" s="23">
        <v>35</v>
      </c>
      <c r="K14" s="23">
        <v>40</v>
      </c>
      <c r="L14" s="23">
        <v>36</v>
      </c>
      <c r="M14" s="23">
        <v>40</v>
      </c>
      <c r="N14" s="23">
        <v>15</v>
      </c>
      <c r="O14" s="23">
        <v>17</v>
      </c>
      <c r="P14" s="23">
        <v>7</v>
      </c>
      <c r="Q14" s="23">
        <v>7</v>
      </c>
      <c r="R14" s="23">
        <v>10</v>
      </c>
      <c r="S14" s="23">
        <v>11</v>
      </c>
      <c r="T14" s="23">
        <f t="shared" si="0"/>
        <v>383</v>
      </c>
      <c r="U14" s="23">
        <f t="shared" si="1"/>
        <v>52.827586206896548</v>
      </c>
      <c r="V14" s="23" t="str">
        <f t="shared" si="2"/>
        <v>C</v>
      </c>
      <c r="W14" s="23">
        <f>RANK(U14,U$5:U28)</f>
        <v>4</v>
      </c>
      <c r="X14" s="1"/>
    </row>
    <row r="15" spans="1:24" x14ac:dyDescent="0.25">
      <c r="A15" s="7">
        <v>14</v>
      </c>
      <c r="B15" s="19">
        <v>103153</v>
      </c>
      <c r="C15" s="20" t="s">
        <v>55</v>
      </c>
      <c r="D15" s="20" t="s">
        <v>56</v>
      </c>
      <c r="E15" s="21" t="s">
        <v>38</v>
      </c>
      <c r="F15" s="23">
        <v>68</v>
      </c>
      <c r="G15" s="23">
        <v>66</v>
      </c>
      <c r="H15" s="23">
        <v>60</v>
      </c>
      <c r="I15" s="23">
        <v>61</v>
      </c>
      <c r="J15" s="23">
        <v>66</v>
      </c>
      <c r="K15" s="23">
        <v>60</v>
      </c>
      <c r="L15" s="23">
        <v>66</v>
      </c>
      <c r="M15" s="23">
        <v>65</v>
      </c>
      <c r="N15" s="23">
        <v>17</v>
      </c>
      <c r="O15" s="23">
        <v>18</v>
      </c>
      <c r="P15" s="23">
        <v>9</v>
      </c>
      <c r="Q15" s="23">
        <v>9</v>
      </c>
      <c r="R15" s="23">
        <v>17</v>
      </c>
      <c r="S15" s="23">
        <v>16</v>
      </c>
      <c r="T15" s="23">
        <f t="shared" si="0"/>
        <v>598</v>
      </c>
      <c r="U15" s="23">
        <f t="shared" si="1"/>
        <v>82.482758620689651</v>
      </c>
      <c r="V15" s="23" t="str">
        <f t="shared" si="2"/>
        <v>A1</v>
      </c>
      <c r="W15" s="23">
        <f>RANK(U15,U$5:U29)</f>
        <v>1</v>
      </c>
      <c r="X15" s="1"/>
    </row>
    <row r="16" spans="1:24" x14ac:dyDescent="0.25">
      <c r="A16" s="7">
        <v>15</v>
      </c>
      <c r="B16" s="19">
        <v>103154</v>
      </c>
      <c r="C16" s="18" t="s">
        <v>57</v>
      </c>
      <c r="D16" s="18" t="s">
        <v>58</v>
      </c>
      <c r="E16" s="1" t="s">
        <v>59</v>
      </c>
      <c r="F16" s="23" t="s">
        <v>63</v>
      </c>
      <c r="G16" s="23" t="s">
        <v>63</v>
      </c>
      <c r="H16" s="23" t="s">
        <v>63</v>
      </c>
      <c r="I16" s="23" t="s">
        <v>63</v>
      </c>
      <c r="J16" s="23" t="s">
        <v>63</v>
      </c>
      <c r="K16" s="23" t="s">
        <v>63</v>
      </c>
      <c r="L16" s="23" t="s">
        <v>63</v>
      </c>
      <c r="M16" s="23" t="s">
        <v>63</v>
      </c>
      <c r="N16" s="23" t="s">
        <v>63</v>
      </c>
      <c r="O16" s="23" t="s">
        <v>63</v>
      </c>
      <c r="P16" s="23" t="s">
        <v>63</v>
      </c>
      <c r="Q16" s="23" t="s">
        <v>63</v>
      </c>
      <c r="R16" s="23" t="s">
        <v>63</v>
      </c>
      <c r="S16" s="23" t="s">
        <v>63</v>
      </c>
      <c r="T16" s="23">
        <f t="shared" si="0"/>
        <v>0</v>
      </c>
      <c r="U16" s="23">
        <f t="shared" si="1"/>
        <v>0</v>
      </c>
      <c r="V16" s="23" t="str">
        <f t="shared" si="2"/>
        <v>FAIL</v>
      </c>
      <c r="W16" s="23">
        <f>RANK(U16,U$5:U30)</f>
        <v>10</v>
      </c>
      <c r="X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Windows User</cp:lastModifiedBy>
  <cp:lastPrinted>2026-03-03T08:53:27Z</cp:lastPrinted>
  <dcterms:created xsi:type="dcterms:W3CDTF">2024-05-23T07:14:03Z</dcterms:created>
  <dcterms:modified xsi:type="dcterms:W3CDTF">2026-03-07T04:13:57Z</dcterms:modified>
</cp:coreProperties>
</file>