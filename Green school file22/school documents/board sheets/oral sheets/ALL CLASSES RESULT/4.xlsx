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4430" windowHeight="82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5" i="1"/>
  <c r="U5"/>
  <c r="V5"/>
  <c r="X5"/>
</calcChain>
</file>

<file path=xl/sharedStrings.xml><?xml version="1.0" encoding="utf-8"?>
<sst xmlns="http://schemas.openxmlformats.org/spreadsheetml/2006/main" count="113" uniqueCount="76">
  <si>
    <t>ENGLISH</t>
  </si>
  <si>
    <t>SINDHI</t>
  </si>
  <si>
    <t>G.MATHS</t>
  </si>
  <si>
    <t>ISLAMIAT</t>
  </si>
  <si>
    <t>S.STUDIES</t>
  </si>
  <si>
    <t>URDU</t>
  </si>
  <si>
    <t>ORAL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</si>
  <si>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</si>
  <si>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</si>
  <si>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</si>
  <si>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</si>
  <si>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</si>
  <si>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</si>
  <si>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</si>
  <si>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</si>
  <si>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</si>
  <si>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</si>
  <si>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</si>
  <si>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>PERCENTAGE</t>
  </si>
  <si>
    <t>GRADE</t>
  </si>
  <si>
    <t>Kalwar</t>
  </si>
  <si>
    <t>SCIENCE</t>
  </si>
  <si>
    <t>Irshad Ali</t>
  </si>
  <si>
    <t>Gadani</t>
  </si>
  <si>
    <t>Adil Ali</t>
  </si>
  <si>
    <t>Naveed Ali</t>
  </si>
  <si>
    <t>Ayaz Ali</t>
  </si>
  <si>
    <t>Mohammad Paryal</t>
  </si>
  <si>
    <t>Imtiaz Ali</t>
  </si>
  <si>
    <t>Noman Ali</t>
  </si>
  <si>
    <t>Mohammad Ishaque</t>
  </si>
  <si>
    <t>Muneer Ahmed</t>
  </si>
  <si>
    <t>Rehan Ali</t>
  </si>
  <si>
    <t xml:space="preserve">Abdul Latif </t>
  </si>
  <si>
    <t>Mohammad Aslam</t>
  </si>
  <si>
    <t>Sohaib Ali</t>
  </si>
  <si>
    <t>Wirand</t>
  </si>
  <si>
    <t>Arsalan Ali</t>
  </si>
  <si>
    <t>Rahib Ali</t>
  </si>
  <si>
    <t>Soomro</t>
  </si>
  <si>
    <t>Zohaib Ali</t>
  </si>
  <si>
    <t>Ali Akbar</t>
  </si>
  <si>
    <t xml:space="preserve">Aliya </t>
  </si>
  <si>
    <t xml:space="preserve">Mohammad Yaseen </t>
  </si>
  <si>
    <t xml:space="preserve">Asma </t>
  </si>
  <si>
    <t xml:space="preserve">Wajid Ali </t>
  </si>
  <si>
    <t>Dharejo</t>
  </si>
  <si>
    <t xml:space="preserve">Areeba </t>
  </si>
  <si>
    <t>Sadullah</t>
  </si>
  <si>
    <t>Aliza</t>
  </si>
  <si>
    <t>Abdul Rauf</t>
  </si>
  <si>
    <t xml:space="preserve">Afiya </t>
  </si>
  <si>
    <t xml:space="preserve">Ayesha </t>
  </si>
  <si>
    <t>Muhakum-u-din</t>
  </si>
  <si>
    <t>Muskan</t>
  </si>
  <si>
    <t>Mariyam</t>
  </si>
  <si>
    <t>Imdad Ali</t>
  </si>
  <si>
    <t>Misbah</t>
  </si>
  <si>
    <t>Abdul Qayoom</t>
  </si>
  <si>
    <t>CLASS: FOUR</t>
  </si>
  <si>
    <t>Khadim Hussain</t>
  </si>
  <si>
    <t xml:space="preserve">ATTENDANCE </t>
  </si>
  <si>
    <t xml:space="preserve">DISCIPLINE </t>
  </si>
  <si>
    <t>ATTENDANCE</t>
  </si>
  <si>
    <t>DISCIPLINE</t>
  </si>
  <si>
    <t>RANK</t>
  </si>
  <si>
    <t>ANNUAL EXAMINATION 2025-2026</t>
  </si>
  <si>
    <t>GREEN NATIONAL MODEL HIGH SCHOOL ADILPUR</t>
  </si>
  <si>
    <t>Hunain</t>
  </si>
  <si>
    <t>Moiz Ali</t>
  </si>
  <si>
    <t xml:space="preserve">Muhammad Saqib </t>
  </si>
  <si>
    <t xml:space="preserve"> Habibullah</t>
  </si>
  <si>
    <t xml:space="preserve">Faizan Ali </t>
  </si>
  <si>
    <t>Abdul Sami</t>
  </si>
  <si>
    <t>Alishba</t>
  </si>
  <si>
    <t>Ajaz</t>
  </si>
</sst>
</file>

<file path=xl/styles.xml><?xml version="1.0" encoding="utf-8"?>
<styleSheet xmlns="http://schemas.openxmlformats.org/spreadsheetml/2006/main">
  <fonts count="10">
    <font>
      <sz val="1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b/>
      <sz val="10"/>
      <name val="Bookman Old Style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Bookman Old Style"/>
    </font>
    <font>
      <sz val="10"/>
      <name val="Arial"/>
    </font>
    <font>
      <b/>
      <sz val="24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35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1" applyFont="1" applyBorder="1" applyAlignment="1" applyProtection="1">
      <alignment horizontal="center" vertical="justify" textRotation="90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4" fillId="0" borderId="2" xfId="0" quotePrefix="1" applyFont="1" applyBorder="1" applyAlignment="1"/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/>
    <xf numFmtId="0" fontId="0" fillId="0" borderId="2" xfId="0" applyBorder="1" applyAlignment="1"/>
    <xf numFmtId="0" fontId="9" fillId="0" borderId="2" xfId="0" applyFont="1" applyBorder="1" applyAlignment="1"/>
    <xf numFmtId="0" fontId="8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5" workbookViewId="0">
      <selection activeCell="A19" sqref="A19"/>
    </sheetView>
  </sheetViews>
  <sheetFormatPr defaultColWidth="10" defaultRowHeight="15"/>
  <cols>
    <col min="2" max="2" width="4.28515625" customWidth="1"/>
    <col min="3" max="3" width="4.5703125" customWidth="1"/>
    <col min="4" max="4" width="18.42578125" customWidth="1"/>
    <col min="5" max="5" width="19.42578125" customWidth="1"/>
    <col min="6" max="6" width="8" customWidth="1"/>
    <col min="7" max="25" width="4.7109375" customWidth="1"/>
  </cols>
  <sheetData>
    <row r="1" spans="1:25" ht="31.5">
      <c r="B1" s="354" t="s">
        <v>67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</row>
    <row r="2" spans="1:25" ht="21">
      <c r="B2" s="355" t="s">
        <v>66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</row>
    <row r="3" spans="1:25" ht="20.25" customHeight="1">
      <c r="B3" s="1"/>
      <c r="C3" s="1"/>
      <c r="D3" s="356" t="s">
        <v>59</v>
      </c>
      <c r="E3" s="356"/>
      <c r="F3" s="356"/>
      <c r="G3" s="356"/>
      <c r="H3" s="356"/>
      <c r="I3" s="35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1"/>
      <c r="X3" s="349"/>
      <c r="Y3" s="1"/>
    </row>
    <row r="4" spans="1:25" ht="81.75" customHeight="1">
      <c r="A4" s="357"/>
      <c r="B4" s="3" t="s">
        <v>13</v>
      </c>
      <c r="C4" s="4" t="s">
        <v>14</v>
      </c>
      <c r="D4" s="5" t="s">
        <v>15</v>
      </c>
      <c r="E4" s="5" t="s">
        <v>16</v>
      </c>
      <c r="F4" s="5" t="s">
        <v>17</v>
      </c>
      <c r="G4" s="6" t="s">
        <v>0</v>
      </c>
      <c r="H4" s="6" t="s">
        <v>21</v>
      </c>
      <c r="I4" s="6" t="s">
        <v>2</v>
      </c>
      <c r="J4" s="6" t="s">
        <v>3</v>
      </c>
      <c r="K4" s="6" t="s">
        <v>1</v>
      </c>
      <c r="L4" s="6" t="s">
        <v>5</v>
      </c>
      <c r="M4" s="6" t="s">
        <v>4</v>
      </c>
      <c r="N4" s="6" t="s">
        <v>6</v>
      </c>
      <c r="O4" s="6" t="s">
        <v>61</v>
      </c>
      <c r="P4" s="6" t="s">
        <v>62</v>
      </c>
      <c r="Q4" s="6" t="s">
        <v>7</v>
      </c>
      <c r="R4" s="6" t="s">
        <v>8</v>
      </c>
      <c r="S4" s="6" t="s">
        <v>9</v>
      </c>
      <c r="T4" s="6" t="s">
        <v>10</v>
      </c>
      <c r="U4" s="6" t="s">
        <v>11</v>
      </c>
      <c r="V4" s="6" t="s">
        <v>18</v>
      </c>
      <c r="W4" s="6" t="s">
        <v>19</v>
      </c>
      <c r="X4" s="6" t="s">
        <v>65</v>
      </c>
      <c r="Y4" s="6" t="s">
        <v>12</v>
      </c>
    </row>
    <row r="5" spans="1:25" ht="21.95" customHeight="1">
      <c r="A5" s="357">
        <v>1909</v>
      </c>
      <c r="B5" s="7">
        <v>1</v>
      </c>
      <c r="C5" s="350">
        <v>401</v>
      </c>
      <c r="D5" s="351" t="s">
        <v>24</v>
      </c>
      <c r="E5" s="351" t="s">
        <v>25</v>
      </c>
      <c r="F5" s="352" t="s">
        <v>20</v>
      </c>
      <c r="G5" s="10">
        <v>91</v>
      </c>
      <c r="H5" s="348">
        <v>91</v>
      </c>
      <c r="I5" s="11">
        <v>96</v>
      </c>
      <c r="J5" s="12">
        <v>92</v>
      </c>
      <c r="K5" s="13">
        <v>83</v>
      </c>
      <c r="L5" s="14">
        <v>72</v>
      </c>
      <c r="M5" s="15">
        <v>84</v>
      </c>
      <c r="N5" s="16">
        <v>86</v>
      </c>
      <c r="O5" s="17">
        <v>16</v>
      </c>
      <c r="P5" s="18">
        <v>18</v>
      </c>
      <c r="Q5" s="19">
        <v>9</v>
      </c>
      <c r="R5" s="20">
        <v>8</v>
      </c>
      <c r="S5" s="21">
        <v>14</v>
      </c>
      <c r="T5" s="22">
        <v>15</v>
      </c>
      <c r="U5" s="23">
        <f ca="1">SUM(G5:U5)</f>
        <v>0</v>
      </c>
      <c r="V5" s="9">
        <f ca="1">SUM(U5/725*100)</f>
        <v>0</v>
      </c>
      <c r="W5" s="256" t="str">
        <f ca="1">IF(V5&gt;79.99,"A1",IF(V5&gt;69.99,"A",IF(V5&gt;59.99,"B",IF(V5&gt;49.99,"C",IF(V5&gt;39.99,"D",IF(V5&gt;32.99,"E","FAIL"))))))</f>
        <v>FAIL</v>
      </c>
      <c r="X5" s="256">
        <f ca="1">RANK(V5,V$5:V19)</f>
        <v>1</v>
      </c>
      <c r="Y5" s="9"/>
    </row>
    <row r="6" spans="1:25" ht="21.95" customHeight="1">
      <c r="A6" s="357">
        <v>1911</v>
      </c>
      <c r="B6" s="7">
        <v>2</v>
      </c>
      <c r="C6" s="350">
        <v>402</v>
      </c>
      <c r="D6" s="352" t="s">
        <v>26</v>
      </c>
      <c r="E6" s="351" t="s">
        <v>27</v>
      </c>
      <c r="F6" s="352" t="s">
        <v>23</v>
      </c>
      <c r="G6" s="24">
        <v>37</v>
      </c>
      <c r="H6" s="25">
        <v>35</v>
      </c>
      <c r="I6" s="26">
        <v>35</v>
      </c>
      <c r="J6" s="27">
        <v>52</v>
      </c>
      <c r="K6" s="28">
        <v>50</v>
      </c>
      <c r="L6" s="29">
        <v>71</v>
      </c>
      <c r="M6" s="30">
        <v>40</v>
      </c>
      <c r="N6" s="31">
        <v>50</v>
      </c>
      <c r="O6" s="32">
        <v>12</v>
      </c>
      <c r="P6" s="33">
        <v>13</v>
      </c>
      <c r="Q6" s="34">
        <v>6</v>
      </c>
      <c r="R6" s="35">
        <v>6</v>
      </c>
      <c r="S6" s="36">
        <v>10</v>
      </c>
      <c r="T6" s="37">
        <v>11</v>
      </c>
      <c r="U6" s="38"/>
      <c r="V6" s="256"/>
      <c r="W6" s="256"/>
      <c r="X6" s="256"/>
      <c r="Y6" s="9"/>
    </row>
    <row r="7" spans="1:25" ht="21.95" customHeight="1">
      <c r="A7" s="357">
        <v>1917</v>
      </c>
      <c r="B7" s="7">
        <v>3</v>
      </c>
      <c r="C7" s="350">
        <v>403</v>
      </c>
      <c r="D7" s="351" t="s">
        <v>68</v>
      </c>
      <c r="E7" s="351" t="s">
        <v>28</v>
      </c>
      <c r="F7" s="352" t="s">
        <v>20</v>
      </c>
      <c r="G7" s="39">
        <v>35</v>
      </c>
      <c r="H7" s="40">
        <v>40</v>
      </c>
      <c r="I7" s="41">
        <v>34</v>
      </c>
      <c r="J7" s="42">
        <v>43</v>
      </c>
      <c r="K7" s="43">
        <v>50</v>
      </c>
      <c r="L7" s="44">
        <v>81</v>
      </c>
      <c r="M7" s="45">
        <v>40</v>
      </c>
      <c r="N7" s="46">
        <v>50</v>
      </c>
      <c r="O7" s="47">
        <v>14</v>
      </c>
      <c r="P7" s="48">
        <v>15</v>
      </c>
      <c r="Q7" s="49">
        <v>6</v>
      </c>
      <c r="R7" s="50">
        <v>6</v>
      </c>
      <c r="S7" s="51">
        <v>7</v>
      </c>
      <c r="T7" s="52">
        <v>13</v>
      </c>
      <c r="U7" s="53"/>
      <c r="V7" s="256"/>
      <c r="W7" s="256"/>
      <c r="X7" s="256"/>
      <c r="Y7" s="9"/>
    </row>
    <row r="8" spans="1:25" ht="21.95" customHeight="1">
      <c r="A8" s="357">
        <v>1908</v>
      </c>
      <c r="B8" s="7">
        <v>4</v>
      </c>
      <c r="C8" s="350">
        <v>404</v>
      </c>
      <c r="D8" s="351" t="s">
        <v>29</v>
      </c>
      <c r="E8" s="351" t="s">
        <v>30</v>
      </c>
      <c r="F8" s="352" t="s">
        <v>20</v>
      </c>
      <c r="G8" s="348">
        <v>35</v>
      </c>
      <c r="H8" s="54">
        <v>42</v>
      </c>
      <c r="I8" s="55">
        <v>62</v>
      </c>
      <c r="J8" s="56">
        <v>40</v>
      </c>
      <c r="K8" s="57">
        <v>51</v>
      </c>
      <c r="L8" s="58">
        <v>66</v>
      </c>
      <c r="M8" s="59">
        <v>36</v>
      </c>
      <c r="N8" s="60">
        <v>45</v>
      </c>
      <c r="O8" s="61">
        <v>17</v>
      </c>
      <c r="P8" s="62">
        <v>18</v>
      </c>
      <c r="Q8" s="63">
        <v>6</v>
      </c>
      <c r="R8" s="64">
        <v>8</v>
      </c>
      <c r="S8" s="65">
        <v>11</v>
      </c>
      <c r="T8" s="66">
        <v>10</v>
      </c>
      <c r="U8" s="67"/>
      <c r="V8" s="256"/>
      <c r="W8" s="256"/>
      <c r="X8" s="256"/>
      <c r="Y8" s="9"/>
    </row>
    <row r="9" spans="1:25" ht="21.95" customHeight="1">
      <c r="A9" s="357">
        <v>1841</v>
      </c>
      <c r="B9" s="7">
        <v>5</v>
      </c>
      <c r="C9" s="350">
        <v>405</v>
      </c>
      <c r="D9" s="352" t="s">
        <v>69</v>
      </c>
      <c r="E9" s="353" t="s">
        <v>31</v>
      </c>
      <c r="F9" s="352" t="s">
        <v>20</v>
      </c>
      <c r="G9" s="68">
        <v>66</v>
      </c>
      <c r="H9" s="69">
        <v>66</v>
      </c>
      <c r="I9" s="70">
        <v>57</v>
      </c>
      <c r="J9" s="71">
        <v>98</v>
      </c>
      <c r="K9" s="72">
        <v>65</v>
      </c>
      <c r="L9" s="73">
        <v>67</v>
      </c>
      <c r="M9" s="74">
        <v>69</v>
      </c>
      <c r="N9" s="75">
        <v>82</v>
      </c>
      <c r="O9" s="76">
        <v>15</v>
      </c>
      <c r="P9" s="77">
        <v>16</v>
      </c>
      <c r="Q9" s="78">
        <v>9</v>
      </c>
      <c r="R9" s="79">
        <v>7</v>
      </c>
      <c r="S9" s="80">
        <v>16</v>
      </c>
      <c r="T9" s="81">
        <v>15</v>
      </c>
      <c r="U9" s="82"/>
      <c r="V9" s="256"/>
      <c r="W9" s="256"/>
      <c r="X9" s="256"/>
      <c r="Y9" s="9"/>
    </row>
    <row r="10" spans="1:25" ht="21.95" customHeight="1">
      <c r="A10" s="357">
        <v>1814</v>
      </c>
      <c r="B10" s="7">
        <v>6</v>
      </c>
      <c r="C10" s="350">
        <v>406</v>
      </c>
      <c r="D10" s="351" t="s">
        <v>32</v>
      </c>
      <c r="E10" s="351" t="s">
        <v>33</v>
      </c>
      <c r="F10" s="352" t="s">
        <v>20</v>
      </c>
      <c r="G10" s="83">
        <v>40</v>
      </c>
      <c r="H10" s="84">
        <v>42</v>
      </c>
      <c r="I10" s="85">
        <v>43</v>
      </c>
      <c r="J10" s="86">
        <v>40</v>
      </c>
      <c r="K10" s="87">
        <v>50</v>
      </c>
      <c r="L10" s="88">
        <v>59</v>
      </c>
      <c r="M10" s="89">
        <v>35</v>
      </c>
      <c r="N10" s="90">
        <v>50</v>
      </c>
      <c r="O10" s="91">
        <v>19</v>
      </c>
      <c r="P10" s="92">
        <v>18</v>
      </c>
      <c r="Q10" s="93">
        <v>6</v>
      </c>
      <c r="R10" s="94">
        <v>7</v>
      </c>
      <c r="S10" s="95">
        <v>11</v>
      </c>
      <c r="T10" s="96">
        <v>10</v>
      </c>
      <c r="U10" s="97"/>
      <c r="V10" s="256"/>
      <c r="W10" s="256"/>
      <c r="X10" s="256"/>
      <c r="Y10" s="9"/>
    </row>
    <row r="11" spans="1:25" ht="21.95" customHeight="1">
      <c r="A11" s="357">
        <v>1915</v>
      </c>
      <c r="B11" s="7">
        <v>7</v>
      </c>
      <c r="C11" s="350">
        <v>407</v>
      </c>
      <c r="D11" s="351" t="s">
        <v>70</v>
      </c>
      <c r="E11" s="351" t="s">
        <v>34</v>
      </c>
      <c r="F11" s="352" t="s">
        <v>20</v>
      </c>
      <c r="G11" s="98">
        <v>40</v>
      </c>
      <c r="H11" s="99">
        <v>35</v>
      </c>
      <c r="I11" s="100">
        <v>38</v>
      </c>
      <c r="J11" s="101">
        <v>40</v>
      </c>
      <c r="K11" s="102">
        <v>50</v>
      </c>
      <c r="L11" s="103">
        <v>77</v>
      </c>
      <c r="M11" s="104">
        <v>35</v>
      </c>
      <c r="N11" s="105">
        <v>45</v>
      </c>
      <c r="O11" s="106">
        <v>16</v>
      </c>
      <c r="P11" s="107">
        <v>15</v>
      </c>
      <c r="Q11" s="108">
        <v>7</v>
      </c>
      <c r="R11" s="109">
        <v>6</v>
      </c>
      <c r="S11" s="110">
        <v>10</v>
      </c>
      <c r="T11" s="111">
        <v>10</v>
      </c>
      <c r="U11" s="112"/>
      <c r="V11" s="256"/>
      <c r="W11" s="256"/>
      <c r="X11" s="256"/>
      <c r="Y11" s="9"/>
    </row>
    <row r="12" spans="1:25" ht="21.95" customHeight="1">
      <c r="A12" s="357">
        <v>1949</v>
      </c>
      <c r="B12" s="7">
        <v>8</v>
      </c>
      <c r="C12" s="350">
        <v>408</v>
      </c>
      <c r="D12" s="352" t="s">
        <v>35</v>
      </c>
      <c r="E12" s="352" t="s">
        <v>71</v>
      </c>
      <c r="F12" s="352" t="s">
        <v>36</v>
      </c>
      <c r="G12" s="113">
        <v>37</v>
      </c>
      <c r="H12" s="114">
        <v>45</v>
      </c>
      <c r="I12" s="115">
        <v>40</v>
      </c>
      <c r="J12" s="116">
        <v>45</v>
      </c>
      <c r="K12" s="117">
        <v>54</v>
      </c>
      <c r="L12" s="118">
        <v>45</v>
      </c>
      <c r="M12" s="119">
        <v>35</v>
      </c>
      <c r="N12" s="120">
        <v>45</v>
      </c>
      <c r="O12" s="121">
        <v>18</v>
      </c>
      <c r="P12" s="122">
        <v>14</v>
      </c>
      <c r="Q12" s="123">
        <v>6</v>
      </c>
      <c r="R12" s="124">
        <v>6</v>
      </c>
      <c r="S12" s="125">
        <v>11</v>
      </c>
      <c r="T12" s="126">
        <v>10</v>
      </c>
      <c r="U12" s="127"/>
      <c r="V12" s="256"/>
      <c r="W12" s="256"/>
      <c r="X12" s="256"/>
      <c r="Y12" s="9"/>
    </row>
    <row r="13" spans="1:25" ht="21.95" customHeight="1">
      <c r="A13" s="357">
        <v>1968</v>
      </c>
      <c r="B13" s="7">
        <v>9</v>
      </c>
      <c r="C13" s="350">
        <v>409</v>
      </c>
      <c r="D13" s="352" t="s">
        <v>37</v>
      </c>
      <c r="E13" s="352" t="s">
        <v>38</v>
      </c>
      <c r="F13" s="352" t="s">
        <v>39</v>
      </c>
      <c r="G13" s="128">
        <v>79</v>
      </c>
      <c r="H13" s="129">
        <v>88</v>
      </c>
      <c r="I13" s="130">
        <v>63</v>
      </c>
      <c r="J13" s="131">
        <v>95</v>
      </c>
      <c r="K13" s="132">
        <v>95</v>
      </c>
      <c r="L13" s="133">
        <v>82</v>
      </c>
      <c r="M13" s="134">
        <v>48</v>
      </c>
      <c r="N13" s="135">
        <v>80</v>
      </c>
      <c r="O13" s="136">
        <v>14</v>
      </c>
      <c r="P13" s="137">
        <v>18</v>
      </c>
      <c r="Q13" s="138">
        <v>9</v>
      </c>
      <c r="R13" s="139">
        <v>9</v>
      </c>
      <c r="S13" s="140">
        <v>9</v>
      </c>
      <c r="T13" s="141">
        <v>10</v>
      </c>
      <c r="U13" s="142"/>
      <c r="V13" s="256"/>
      <c r="W13" s="256"/>
      <c r="X13" s="256"/>
      <c r="Y13" s="9"/>
    </row>
    <row r="14" spans="1:25" ht="21.95" customHeight="1">
      <c r="A14" s="357">
        <v>1770</v>
      </c>
      <c r="B14" s="7">
        <v>10</v>
      </c>
      <c r="C14" s="350">
        <v>410</v>
      </c>
      <c r="D14" s="352" t="s">
        <v>72</v>
      </c>
      <c r="E14" s="352" t="s">
        <v>60</v>
      </c>
      <c r="F14" s="352" t="s">
        <v>20</v>
      </c>
      <c r="G14" s="143">
        <v>60</v>
      </c>
      <c r="H14" s="144">
        <v>61</v>
      </c>
      <c r="I14" s="145">
        <v>58</v>
      </c>
      <c r="J14" s="146">
        <v>55</v>
      </c>
      <c r="K14" s="147">
        <v>50</v>
      </c>
      <c r="L14" s="148">
        <v>76</v>
      </c>
      <c r="M14" s="149">
        <v>36</v>
      </c>
      <c r="N14" s="150">
        <v>63</v>
      </c>
      <c r="O14" s="151">
        <v>9</v>
      </c>
      <c r="P14" s="152">
        <v>18</v>
      </c>
      <c r="Q14" s="153">
        <v>7</v>
      </c>
      <c r="R14" s="154">
        <v>17</v>
      </c>
      <c r="S14" s="155">
        <v>15</v>
      </c>
      <c r="T14" s="156">
        <v>15</v>
      </c>
      <c r="U14" s="157"/>
      <c r="V14" s="256"/>
      <c r="W14" s="256"/>
      <c r="X14" s="256"/>
      <c r="Y14" s="9"/>
    </row>
    <row r="15" spans="1:25" ht="21.95" customHeight="1">
      <c r="A15" s="357">
        <v>1918</v>
      </c>
      <c r="B15" s="7">
        <v>11</v>
      </c>
      <c r="C15" s="350">
        <v>411</v>
      </c>
      <c r="D15" s="352" t="s">
        <v>40</v>
      </c>
      <c r="E15" s="351" t="s">
        <v>41</v>
      </c>
      <c r="F15" s="352" t="s">
        <v>20</v>
      </c>
      <c r="G15" s="158">
        <v>60</v>
      </c>
      <c r="H15" s="159">
        <v>40</v>
      </c>
      <c r="I15" s="160">
        <v>45</v>
      </c>
      <c r="J15" s="161">
        <v>45</v>
      </c>
      <c r="K15" s="162">
        <v>50</v>
      </c>
      <c r="L15" s="163">
        <v>64</v>
      </c>
      <c r="M15" s="164">
        <v>35</v>
      </c>
      <c r="N15" s="165">
        <v>45</v>
      </c>
      <c r="O15" s="166">
        <v>15</v>
      </c>
      <c r="P15" s="167">
        <v>18</v>
      </c>
      <c r="Q15" s="168">
        <v>6</v>
      </c>
      <c r="R15" s="169">
        <v>7</v>
      </c>
      <c r="S15" s="170">
        <v>9</v>
      </c>
      <c r="T15" s="171">
        <v>10</v>
      </c>
      <c r="U15" s="172"/>
      <c r="V15" s="256"/>
      <c r="W15" s="256"/>
      <c r="X15" s="256"/>
      <c r="Y15" s="9"/>
    </row>
    <row r="16" spans="1:25" ht="21.95" customHeight="1">
      <c r="A16" s="357">
        <v>1904</v>
      </c>
      <c r="B16" s="7">
        <v>12</v>
      </c>
      <c r="C16" s="350">
        <v>551</v>
      </c>
      <c r="D16" s="352" t="s">
        <v>42</v>
      </c>
      <c r="E16" s="351" t="s">
        <v>43</v>
      </c>
      <c r="F16" s="352" t="s">
        <v>20</v>
      </c>
      <c r="G16" s="173">
        <v>74</v>
      </c>
      <c r="H16" s="174">
        <v>69</v>
      </c>
      <c r="I16" s="175">
        <v>35</v>
      </c>
      <c r="J16" s="176">
        <v>68</v>
      </c>
      <c r="K16" s="177">
        <v>56</v>
      </c>
      <c r="L16" s="178">
        <v>73</v>
      </c>
      <c r="M16" s="179">
        <v>72</v>
      </c>
      <c r="N16" s="180">
        <v>68</v>
      </c>
      <c r="O16" s="181">
        <v>16</v>
      </c>
      <c r="P16" s="182">
        <v>16</v>
      </c>
      <c r="Q16" s="183">
        <v>8</v>
      </c>
      <c r="R16" s="184">
        <v>8</v>
      </c>
      <c r="S16" s="185">
        <v>17</v>
      </c>
      <c r="T16" s="186">
        <v>15</v>
      </c>
      <c r="U16" s="187"/>
      <c r="V16" s="256"/>
      <c r="W16" s="256"/>
      <c r="X16" s="256"/>
      <c r="Y16" s="9"/>
    </row>
    <row r="17" spans="1:25" ht="21.95" customHeight="1">
      <c r="A17" s="357">
        <v>1925</v>
      </c>
      <c r="B17" s="7">
        <v>13</v>
      </c>
      <c r="C17" s="350">
        <v>552</v>
      </c>
      <c r="D17" s="351" t="s">
        <v>44</v>
      </c>
      <c r="E17" s="351" t="s">
        <v>45</v>
      </c>
      <c r="F17" s="352" t="s">
        <v>46</v>
      </c>
      <c r="G17" s="188">
        <v>35</v>
      </c>
      <c r="H17" s="189">
        <v>52</v>
      </c>
      <c r="I17" s="190">
        <v>38</v>
      </c>
      <c r="J17" s="191">
        <v>43</v>
      </c>
      <c r="K17" s="192">
        <v>52</v>
      </c>
      <c r="L17" s="193">
        <v>61</v>
      </c>
      <c r="M17" s="194">
        <v>35</v>
      </c>
      <c r="N17" s="195">
        <v>40</v>
      </c>
      <c r="O17" s="196">
        <v>13</v>
      </c>
      <c r="P17" s="197">
        <v>14</v>
      </c>
      <c r="Q17" s="198">
        <v>7</v>
      </c>
      <c r="R17" s="199">
        <v>7</v>
      </c>
      <c r="S17" s="200">
        <v>17</v>
      </c>
      <c r="T17" s="201">
        <v>15</v>
      </c>
      <c r="U17" s="202"/>
      <c r="V17" s="256"/>
      <c r="W17" s="256"/>
      <c r="X17" s="256"/>
      <c r="Y17" s="9"/>
    </row>
    <row r="18" spans="1:25" ht="21.95" customHeight="1">
      <c r="A18" s="357">
        <v>1924</v>
      </c>
      <c r="B18" s="7">
        <v>14</v>
      </c>
      <c r="C18" s="350">
        <v>553</v>
      </c>
      <c r="D18" s="352" t="s">
        <v>47</v>
      </c>
      <c r="E18" s="351" t="s">
        <v>48</v>
      </c>
      <c r="F18" s="352" t="s">
        <v>20</v>
      </c>
      <c r="G18" s="203">
        <v>34</v>
      </c>
      <c r="H18" s="204">
        <v>35</v>
      </c>
      <c r="I18" s="205">
        <v>40</v>
      </c>
      <c r="J18" s="206">
        <v>38</v>
      </c>
      <c r="K18" s="207">
        <v>50</v>
      </c>
      <c r="L18" s="208">
        <v>68</v>
      </c>
      <c r="M18" s="209">
        <v>54</v>
      </c>
      <c r="N18" s="210">
        <v>50</v>
      </c>
      <c r="O18" s="211">
        <v>16</v>
      </c>
      <c r="P18" s="212">
        <v>16</v>
      </c>
      <c r="Q18" s="213">
        <v>6</v>
      </c>
      <c r="R18" s="214">
        <v>7</v>
      </c>
      <c r="S18" s="215">
        <v>16</v>
      </c>
      <c r="T18" s="216">
        <v>14</v>
      </c>
      <c r="U18" s="217"/>
      <c r="V18" s="256"/>
      <c r="W18" s="256"/>
      <c r="X18" s="256"/>
      <c r="Y18" s="9"/>
    </row>
    <row r="19" spans="1:25" ht="21.95" customHeight="1">
      <c r="A19" s="357">
        <v>1970</v>
      </c>
      <c r="B19" s="7">
        <v>15</v>
      </c>
      <c r="C19" s="350">
        <v>554</v>
      </c>
      <c r="D19" s="352" t="s">
        <v>49</v>
      </c>
      <c r="E19" s="352" t="s">
        <v>50</v>
      </c>
      <c r="F19" s="352" t="s">
        <v>39</v>
      </c>
      <c r="G19" s="218">
        <v>94</v>
      </c>
      <c r="H19" s="219">
        <v>85</v>
      </c>
      <c r="I19" s="220">
        <v>72</v>
      </c>
      <c r="J19" s="221">
        <v>93</v>
      </c>
      <c r="K19" s="222">
        <v>78</v>
      </c>
      <c r="L19" s="223">
        <v>97</v>
      </c>
      <c r="M19" s="224">
        <v>60</v>
      </c>
      <c r="N19" s="225">
        <v>92</v>
      </c>
      <c r="O19" s="226">
        <v>18</v>
      </c>
      <c r="P19" s="227">
        <v>16</v>
      </c>
      <c r="Q19" s="228">
        <v>9</v>
      </c>
      <c r="R19" s="229">
        <v>9</v>
      </c>
      <c r="S19" s="230">
        <v>16</v>
      </c>
      <c r="T19" s="231">
        <v>15</v>
      </c>
      <c r="U19" s="232"/>
      <c r="V19" s="256"/>
      <c r="W19" s="256"/>
      <c r="X19" s="256"/>
      <c r="Y19" s="9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abSelected="1" workbookViewId="0">
      <selection activeCell="T9" sqref="T9"/>
    </sheetView>
  </sheetViews>
  <sheetFormatPr defaultColWidth="10" defaultRowHeight="15"/>
  <cols>
    <col min="2" max="2" width="5.42578125" bestFit="1" customWidth="1"/>
    <col min="3" max="3" width="5.28515625" customWidth="1"/>
    <col min="4" max="4" width="14.5703125" customWidth="1"/>
    <col min="5" max="5" width="15.42578125" bestFit="1" customWidth="1"/>
    <col min="7" max="24" width="4.7109375" customWidth="1"/>
  </cols>
  <sheetData>
    <row r="3" spans="1:24" s="233" customFormat="1" ht="100.5" customHeight="1">
      <c r="A3" s="256"/>
      <c r="B3" s="234" t="s">
        <v>13</v>
      </c>
      <c r="C3" s="235" t="s">
        <v>14</v>
      </c>
      <c r="D3" s="236" t="s">
        <v>15</v>
      </c>
      <c r="E3" s="236" t="s">
        <v>16</v>
      </c>
      <c r="F3" s="236" t="s">
        <v>17</v>
      </c>
      <c r="G3" s="6" t="s">
        <v>0</v>
      </c>
      <c r="H3" s="6" t="s">
        <v>21</v>
      </c>
      <c r="I3" s="6" t="s">
        <v>2</v>
      </c>
      <c r="J3" s="6" t="s">
        <v>3</v>
      </c>
      <c r="K3" s="6" t="s">
        <v>1</v>
      </c>
      <c r="L3" s="6" t="s">
        <v>5</v>
      </c>
      <c r="M3" s="6" t="s">
        <v>4</v>
      </c>
      <c r="N3" s="237" t="s">
        <v>6</v>
      </c>
      <c r="O3" s="237" t="s">
        <v>63</v>
      </c>
      <c r="P3" s="237" t="s">
        <v>64</v>
      </c>
      <c r="Q3" s="237" t="s">
        <v>7</v>
      </c>
      <c r="R3" s="237" t="s">
        <v>8</v>
      </c>
      <c r="S3" s="237" t="s">
        <v>9</v>
      </c>
      <c r="T3" s="237" t="s">
        <v>10</v>
      </c>
      <c r="U3" s="237" t="s">
        <v>11</v>
      </c>
      <c r="V3" s="237" t="s">
        <v>18</v>
      </c>
      <c r="W3" s="237" t="s">
        <v>19</v>
      </c>
      <c r="X3" s="237" t="s">
        <v>12</v>
      </c>
    </row>
    <row r="4" spans="1:24" ht="21.95" customHeight="1">
      <c r="A4" s="357">
        <v>1905</v>
      </c>
      <c r="B4" s="7">
        <v>16</v>
      </c>
      <c r="C4" s="350">
        <v>555</v>
      </c>
      <c r="D4" s="351" t="s">
        <v>51</v>
      </c>
      <c r="E4" s="351" t="s">
        <v>73</v>
      </c>
      <c r="F4" s="352" t="s">
        <v>20</v>
      </c>
      <c r="G4" s="238">
        <v>40</v>
      </c>
      <c r="H4" s="348">
        <v>42</v>
      </c>
      <c r="I4" s="239">
        <v>45</v>
      </c>
      <c r="J4" s="240">
        <v>35</v>
      </c>
      <c r="K4" s="241">
        <v>51</v>
      </c>
      <c r="L4" s="242">
        <v>62</v>
      </c>
      <c r="M4" s="243">
        <v>35</v>
      </c>
      <c r="N4" s="244">
        <v>40</v>
      </c>
      <c r="O4" s="245">
        <v>13</v>
      </c>
      <c r="P4" s="246">
        <v>13</v>
      </c>
      <c r="Q4" s="247">
        <v>5</v>
      </c>
      <c r="R4" s="248">
        <v>7</v>
      </c>
      <c r="S4" s="249">
        <v>10</v>
      </c>
      <c r="T4" s="250">
        <v>12</v>
      </c>
      <c r="U4" s="251"/>
      <c r="V4" s="9"/>
      <c r="W4" s="9"/>
      <c r="X4" s="9"/>
    </row>
    <row r="5" spans="1:24" ht="21.95" customHeight="1">
      <c r="A5" s="357">
        <v>1916</v>
      </c>
      <c r="B5" s="7">
        <v>17</v>
      </c>
      <c r="C5" s="350">
        <v>556</v>
      </c>
      <c r="D5" s="351" t="s">
        <v>52</v>
      </c>
      <c r="E5" s="351" t="s">
        <v>53</v>
      </c>
      <c r="F5" s="352" t="s">
        <v>20</v>
      </c>
      <c r="G5" s="348">
        <v>48</v>
      </c>
      <c r="H5" s="252">
        <v>51</v>
      </c>
      <c r="I5" s="253">
        <v>42</v>
      </c>
      <c r="J5" s="240">
        <v>66</v>
      </c>
      <c r="K5" s="241">
        <v>50</v>
      </c>
      <c r="L5" s="242">
        <v>69</v>
      </c>
      <c r="M5" s="254">
        <v>38</v>
      </c>
      <c r="N5" s="255">
        <v>45</v>
      </c>
      <c r="O5" s="256">
        <v>17</v>
      </c>
      <c r="P5" s="9">
        <v>15</v>
      </c>
      <c r="Q5" s="9">
        <v>7</v>
      </c>
      <c r="R5" s="9">
        <v>7</v>
      </c>
      <c r="S5" s="9">
        <v>15</v>
      </c>
      <c r="T5" s="9">
        <v>12</v>
      </c>
      <c r="U5" s="9"/>
      <c r="V5" s="9"/>
      <c r="W5" s="9"/>
      <c r="X5" s="9"/>
    </row>
    <row r="6" spans="1:24" ht="21.95" customHeight="1">
      <c r="A6" s="357">
        <v>1912</v>
      </c>
      <c r="B6" s="7">
        <v>18</v>
      </c>
      <c r="C6" s="350">
        <v>557</v>
      </c>
      <c r="D6" s="351" t="s">
        <v>54</v>
      </c>
      <c r="E6" s="351" t="s">
        <v>22</v>
      </c>
      <c r="F6" s="352" t="s">
        <v>20</v>
      </c>
      <c r="G6" s="257">
        <v>35</v>
      </c>
      <c r="H6" s="258">
        <v>53</v>
      </c>
      <c r="I6" s="259">
        <v>60</v>
      </c>
      <c r="J6" s="260">
        <v>67</v>
      </c>
      <c r="K6" s="261">
        <v>53</v>
      </c>
      <c r="L6" s="262">
        <v>40</v>
      </c>
      <c r="M6" s="263">
        <v>39</v>
      </c>
      <c r="N6" s="264">
        <v>48</v>
      </c>
      <c r="O6" s="265">
        <v>15</v>
      </c>
      <c r="P6" s="266">
        <v>14</v>
      </c>
      <c r="Q6" s="267">
        <v>7</v>
      </c>
      <c r="R6" s="268">
        <v>8</v>
      </c>
      <c r="S6" s="269">
        <v>12</v>
      </c>
      <c r="T6" s="270">
        <v>11</v>
      </c>
      <c r="U6" s="271"/>
      <c r="V6" s="9"/>
      <c r="W6" s="9"/>
      <c r="X6" s="9"/>
    </row>
    <row r="7" spans="1:24" ht="21.95" customHeight="1">
      <c r="A7" s="357">
        <v>1913</v>
      </c>
      <c r="B7" s="7">
        <v>19</v>
      </c>
      <c r="C7" s="350">
        <v>558</v>
      </c>
      <c r="D7" s="351" t="s">
        <v>55</v>
      </c>
      <c r="E7" s="351" t="s">
        <v>56</v>
      </c>
      <c r="F7" s="352" t="s">
        <v>20</v>
      </c>
      <c r="G7" s="272">
        <v>90</v>
      </c>
      <c r="H7" s="273">
        <v>84</v>
      </c>
      <c r="I7" s="274">
        <v>77</v>
      </c>
      <c r="J7" s="275">
        <v>93</v>
      </c>
      <c r="K7" s="276">
        <v>90</v>
      </c>
      <c r="L7" s="277">
        <v>98</v>
      </c>
      <c r="M7" s="278">
        <v>71</v>
      </c>
      <c r="N7" s="279">
        <v>91</v>
      </c>
      <c r="O7" s="280">
        <v>17</v>
      </c>
      <c r="P7" s="281">
        <v>17</v>
      </c>
      <c r="Q7" s="282">
        <v>9</v>
      </c>
      <c r="R7" s="283">
        <v>7</v>
      </c>
      <c r="S7" s="284">
        <v>18</v>
      </c>
      <c r="T7" s="285">
        <v>15</v>
      </c>
      <c r="U7" s="286"/>
      <c r="V7" s="9"/>
      <c r="W7" s="9"/>
      <c r="X7" s="9"/>
    </row>
    <row r="8" spans="1:24" ht="21.95" customHeight="1">
      <c r="A8" s="357">
        <v>1922</v>
      </c>
      <c r="B8" s="7">
        <v>20</v>
      </c>
      <c r="C8" s="350">
        <v>559</v>
      </c>
      <c r="D8" s="351" t="s">
        <v>57</v>
      </c>
      <c r="E8" s="351" t="s">
        <v>58</v>
      </c>
      <c r="F8" s="352" t="s">
        <v>20</v>
      </c>
      <c r="G8" s="287">
        <v>50</v>
      </c>
      <c r="H8" s="288">
        <v>36</v>
      </c>
      <c r="I8" s="289">
        <v>36</v>
      </c>
      <c r="J8" s="290">
        <v>50</v>
      </c>
      <c r="K8" s="291">
        <v>65</v>
      </c>
      <c r="L8" s="292">
        <v>35</v>
      </c>
      <c r="M8" s="293">
        <v>40</v>
      </c>
      <c r="N8" s="294">
        <v>15</v>
      </c>
      <c r="O8" s="295">
        <v>15</v>
      </c>
      <c r="P8" s="296">
        <v>17</v>
      </c>
      <c r="Q8" s="297">
        <v>8</v>
      </c>
      <c r="R8" s="298">
        <v>7</v>
      </c>
      <c r="S8" s="299">
        <v>12</v>
      </c>
      <c r="T8" s="300">
        <v>13</v>
      </c>
      <c r="U8" s="301"/>
      <c r="V8" s="9"/>
      <c r="W8" s="9"/>
      <c r="X8" s="9"/>
    </row>
    <row r="9" spans="1:24" ht="21.95" customHeight="1">
      <c r="A9" s="357">
        <v>1855</v>
      </c>
      <c r="B9" s="7">
        <v>21</v>
      </c>
      <c r="C9" s="8"/>
      <c r="D9" s="256" t="s">
        <v>74</v>
      </c>
      <c r="E9" s="256" t="s">
        <v>75</v>
      </c>
      <c r="F9" s="256" t="s">
        <v>20</v>
      </c>
      <c r="G9" s="302">
        <v>45</v>
      </c>
      <c r="H9" s="303">
        <v>50</v>
      </c>
      <c r="I9" s="304">
        <v>55</v>
      </c>
      <c r="J9" s="305">
        <v>45</v>
      </c>
      <c r="K9" s="306">
        <v>43</v>
      </c>
      <c r="L9" s="307">
        <v>50</v>
      </c>
      <c r="M9" s="308">
        <v>57</v>
      </c>
      <c r="N9" s="309">
        <v>60</v>
      </c>
      <c r="O9" s="310">
        <v>11</v>
      </c>
      <c r="P9" s="311">
        <v>12</v>
      </c>
      <c r="Q9" s="312">
        <v>6</v>
      </c>
      <c r="R9" s="313">
        <v>6</v>
      </c>
      <c r="S9" s="314">
        <v>12</v>
      </c>
      <c r="T9" s="315">
        <v>14</v>
      </c>
      <c r="U9" s="316"/>
      <c r="V9" s="9"/>
      <c r="W9" s="9"/>
      <c r="X9" s="9"/>
    </row>
    <row r="10" spans="1:24" ht="21.95" customHeight="1">
      <c r="A10" s="357"/>
      <c r="B10" s="7">
        <v>22</v>
      </c>
      <c r="C10" s="317"/>
      <c r="D10" s="9"/>
      <c r="E10" s="9"/>
      <c r="F10" s="9"/>
      <c r="G10" s="318"/>
      <c r="H10" s="319"/>
      <c r="I10" s="320"/>
      <c r="J10" s="321"/>
      <c r="K10" s="322"/>
      <c r="L10" s="323"/>
      <c r="M10" s="324"/>
      <c r="N10" s="325"/>
      <c r="O10" s="326"/>
      <c r="P10" s="327"/>
      <c r="Q10" s="328"/>
      <c r="R10" s="329"/>
      <c r="S10" s="330"/>
      <c r="T10" s="331"/>
      <c r="U10" s="332"/>
      <c r="V10" s="9"/>
      <c r="W10" s="9"/>
      <c r="X10" s="9"/>
    </row>
    <row r="11" spans="1:24" ht="21.95" customHeight="1">
      <c r="A11" s="357"/>
      <c r="B11" s="7">
        <v>23</v>
      </c>
      <c r="C11" s="333"/>
      <c r="D11" s="9"/>
      <c r="E11" s="9"/>
      <c r="F11" s="9"/>
      <c r="G11" s="334"/>
      <c r="H11" s="335"/>
      <c r="I11" s="336"/>
      <c r="J11" s="337"/>
      <c r="K11" s="338"/>
      <c r="L11" s="339"/>
      <c r="M11" s="340"/>
      <c r="N11" s="341"/>
      <c r="O11" s="342"/>
      <c r="P11" s="343"/>
      <c r="Q11" s="344"/>
      <c r="R11" s="345"/>
      <c r="S11" s="346"/>
      <c r="T11" s="347"/>
      <c r="U11" s="348"/>
      <c r="V11" s="9"/>
      <c r="W11" s="9"/>
      <c r="X11" s="9"/>
    </row>
    <row r="12" spans="1:24" ht="21.95" customHeight="1">
      <c r="A12" s="357"/>
      <c r="B12" s="7">
        <v>24</v>
      </c>
      <c r="C12" s="33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21.95" customHeight="1">
      <c r="A13" s="357"/>
      <c r="B13" s="7">
        <v>25</v>
      </c>
      <c r="C13" s="33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21.95" customHeight="1">
      <c r="A14" s="357"/>
      <c r="B14" s="7">
        <v>26</v>
      </c>
      <c r="C14" s="33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21.95" customHeight="1">
      <c r="A15" s="357"/>
      <c r="B15" s="7">
        <v>27</v>
      </c>
      <c r="C15" s="33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21.95" customHeight="1">
      <c r="A16" s="357"/>
      <c r="B16" s="7">
        <v>28</v>
      </c>
      <c r="C16" s="33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21.95" customHeight="1">
      <c r="A17" s="357"/>
      <c r="B17" s="7">
        <v>29</v>
      </c>
      <c r="C17" s="33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21.95" customHeight="1">
      <c r="A18" s="357"/>
      <c r="B18" s="7">
        <v>30</v>
      </c>
      <c r="C18" s="33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</sheetData>
  <pageMargins left="0.25" right="0.25" top="0.75" bottom="0.75" header="0.3" footer="0.3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2026-03-03T09:01:22Z</cp:lastPrinted>
  <dcterms:created xsi:type="dcterms:W3CDTF">2024-05-22T06:14:03Z</dcterms:created>
  <dcterms:modified xsi:type="dcterms:W3CDTF">2026-06-30T09:20:13Z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6fedb2ebc48c4fcb96131ce69cd158f1</vt:lpwstr>
  </property>
</Properties>
</file>