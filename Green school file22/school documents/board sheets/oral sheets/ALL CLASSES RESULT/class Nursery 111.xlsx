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765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Q5" i="1"/>
  <c r="R5" s="1"/>
  <c r="T5" l="1"/>
  <c r="S5"/>
</calcChain>
</file>

<file path=xl/sharedStrings.xml><?xml version="1.0" encoding="utf-8"?>
<sst xmlns="http://schemas.openxmlformats.org/spreadsheetml/2006/main" count="119" uniqueCount="79">
  <si>
    <t>ENGLISH</t>
  </si>
  <si>
    <t>SINDHI</t>
  </si>
  <si>
    <t>G.MATHS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</si>
  <si>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</si>
  <si>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</si>
  <si>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</si>
  <si>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</si>
  <si>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</si>
  <si>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</si>
  <si>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</si>
  <si>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</si>
  <si>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</si>
  <si>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</si>
  <si>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</si>
  <si>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</si>
  <si>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</si>
  <si>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</si>
  <si>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</si>
  <si>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</si>
  <si>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</si>
  <si>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</si>
  <si>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</si>
  <si>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Allah Dino</t>
  </si>
  <si>
    <t>Akbar Ali</t>
  </si>
  <si>
    <t>Shaikh</t>
  </si>
  <si>
    <t>Wajid Ali</t>
  </si>
  <si>
    <t>Solangi</t>
  </si>
  <si>
    <t>Zaman Ali</t>
  </si>
  <si>
    <t>Wahid Bux</t>
  </si>
  <si>
    <t>Arslan Ali</t>
  </si>
  <si>
    <t>Rizwan Ali</t>
  </si>
  <si>
    <t>Muhammad Umar</t>
  </si>
  <si>
    <t>Najeeb Rehman</t>
  </si>
  <si>
    <t>Nasir Ali</t>
  </si>
  <si>
    <t>Sabir Ali</t>
  </si>
  <si>
    <t>Safiyan</t>
  </si>
  <si>
    <t>Muhammad Aslam</t>
  </si>
  <si>
    <t>Unar</t>
  </si>
  <si>
    <t>Subhan Ali</t>
  </si>
  <si>
    <t>Riaz Ali</t>
  </si>
  <si>
    <t>Taimoor</t>
  </si>
  <si>
    <t>Maqsood Ali</t>
  </si>
  <si>
    <t>Zaheer Ahmed</t>
  </si>
  <si>
    <t>Ali Raza</t>
  </si>
  <si>
    <t>Hafsa</t>
  </si>
  <si>
    <t>Izhar Ali</t>
  </si>
  <si>
    <t>Shifa</t>
  </si>
  <si>
    <t>Zakia</t>
  </si>
  <si>
    <t>Habibullah</t>
  </si>
  <si>
    <t>Soomro</t>
  </si>
  <si>
    <t>CLASS: NURSERY</t>
  </si>
  <si>
    <t xml:space="preserve">DRAWING </t>
  </si>
  <si>
    <t>RANK</t>
  </si>
  <si>
    <t>ANNUAL EXAMINATION 2025-2026</t>
  </si>
  <si>
    <t>Taj Muhammad</t>
  </si>
  <si>
    <t>Khadim Hussain</t>
  </si>
  <si>
    <t>Isarar Ali</t>
  </si>
  <si>
    <t>Ismail</t>
  </si>
  <si>
    <t>Ibrar Ali</t>
  </si>
  <si>
    <t>Zeeshan Ali</t>
  </si>
  <si>
    <t>Zameer Ali</t>
  </si>
  <si>
    <t xml:space="preserve">Sahil </t>
  </si>
  <si>
    <t>Naveed Ali</t>
  </si>
  <si>
    <t>Danish</t>
  </si>
  <si>
    <t>Nasrullah</t>
  </si>
  <si>
    <t>Muhammad Hasnain</t>
  </si>
  <si>
    <t xml:space="preserve">Inamullah </t>
  </si>
  <si>
    <t>Sameer Ali</t>
  </si>
  <si>
    <t>Abdul Sami</t>
  </si>
  <si>
    <t>Muhammad Umair</t>
  </si>
  <si>
    <t>Zubair Ali</t>
  </si>
  <si>
    <t>Muzamil Hussain</t>
  </si>
  <si>
    <t>Imran Ali</t>
  </si>
  <si>
    <t>Barkat Ali</t>
  </si>
  <si>
    <t>Abubakar</t>
  </si>
  <si>
    <t>Abdul Hadi</t>
  </si>
  <si>
    <t>Nisar Ali</t>
  </si>
  <si>
    <t xml:space="preserve">Arshad Ali </t>
  </si>
  <si>
    <t>Abid Hussain</t>
  </si>
</sst>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6"/>
      <color rgb="FF000000"/>
      <name val="Calibri"/>
    </font>
    <font>
      <b/>
      <sz val="10"/>
      <color rgb="FF000000"/>
      <name val="Calibri"/>
    </font>
    <font>
      <b/>
      <sz val="10"/>
      <name val="Bookman Old Style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Bookman Old Style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2" xfId="0" applyFont="1" applyBorder="1" applyAlignment="1"/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1" applyFont="1" applyBorder="1" applyAlignment="1" applyProtection="1">
      <alignment horizontal="center" vertical="justify" textRotation="90"/>
    </xf>
    <xf numFmtId="0" fontId="4" fillId="0" borderId="2" xfId="0" applyFont="1" applyBorder="1" applyAlignment="1">
      <alignment horizont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 wrapText="1"/>
    </xf>
    <xf numFmtId="0" fontId="0" fillId="0" borderId="2" xfId="0" applyBorder="1" applyAlignment="1"/>
    <xf numFmtId="0" fontId="0" fillId="0" borderId="2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topLeftCell="A4" zoomScale="80" zoomScaleNormal="80" workbookViewId="0">
      <selection activeCell="B14" sqref="B14"/>
    </sheetView>
  </sheetViews>
  <sheetFormatPr defaultColWidth="10" defaultRowHeight="15"/>
  <cols>
    <col min="1" max="1" width="4.28515625" customWidth="1"/>
    <col min="2" max="2" width="5.28515625" customWidth="1"/>
    <col min="3" max="3" width="20.5703125" customWidth="1"/>
    <col min="4" max="4" width="19.42578125" customWidth="1"/>
    <col min="5" max="5" width="8.85546875" bestFit="1" customWidth="1"/>
    <col min="6" max="21" width="4.7109375" customWidth="1"/>
  </cols>
  <sheetData>
    <row r="1" spans="1:21" ht="21">
      <c r="A1" s="22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21">
      <c r="A2" s="23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20.25" customHeight="1">
      <c r="A3" s="1"/>
      <c r="B3" s="1"/>
      <c r="C3" s="24" t="s">
        <v>50</v>
      </c>
      <c r="D3" s="24"/>
      <c r="E3" s="24"/>
      <c r="F3" s="24"/>
      <c r="G3" s="24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1"/>
      <c r="T3" s="18"/>
      <c r="U3" s="1"/>
    </row>
    <row r="4" spans="1:21" ht="81.75" customHeight="1">
      <c r="A4" s="3" t="s">
        <v>12</v>
      </c>
      <c r="B4" s="4" t="s">
        <v>13</v>
      </c>
      <c r="C4" s="5" t="s">
        <v>14</v>
      </c>
      <c r="D4" s="5" t="s">
        <v>15</v>
      </c>
      <c r="E4" s="5" t="s">
        <v>16</v>
      </c>
      <c r="F4" s="6" t="s">
        <v>0</v>
      </c>
      <c r="G4" s="6" t="s">
        <v>2</v>
      </c>
      <c r="H4" s="6" t="s">
        <v>51</v>
      </c>
      <c r="I4" s="6" t="s">
        <v>1</v>
      </c>
      <c r="J4" s="6" t="s">
        <v>3</v>
      </c>
      <c r="K4" s="6" t="s">
        <v>4</v>
      </c>
      <c r="L4" s="6" t="s">
        <v>5</v>
      </c>
      <c r="M4" s="6" t="s">
        <v>6</v>
      </c>
      <c r="N4" s="6" t="s">
        <v>7</v>
      </c>
      <c r="O4" s="6" t="s">
        <v>8</v>
      </c>
      <c r="P4" s="6" t="s">
        <v>9</v>
      </c>
      <c r="Q4" s="6" t="s">
        <v>10</v>
      </c>
      <c r="R4" s="6" t="s">
        <v>18</v>
      </c>
      <c r="S4" s="6" t="s">
        <v>19</v>
      </c>
      <c r="T4" s="6" t="s">
        <v>52</v>
      </c>
      <c r="U4" s="6" t="s">
        <v>11</v>
      </c>
    </row>
    <row r="5" spans="1:21" ht="21.95" customHeight="1">
      <c r="A5" s="7">
        <v>1</v>
      </c>
      <c r="B5" s="19">
        <v>1</v>
      </c>
      <c r="C5" s="20" t="s">
        <v>27</v>
      </c>
      <c r="D5" s="20" t="s">
        <v>28</v>
      </c>
      <c r="E5" s="20" t="s">
        <v>21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>
        <f>SUM(F5:P5)</f>
        <v>0</v>
      </c>
      <c r="R5" s="8">
        <f>SUM(Q5/500*100)</f>
        <v>0</v>
      </c>
      <c r="S5" s="9" t="str">
        <f>IF(R5&gt;79.99,"A1",IF(R5&gt;69.99,"A",IF(R5&gt;59.99,"B",IF(R5&gt;49.99,"C",IF(R5&gt;39.99,"D",IF(R5&gt;32.99,"E","FAIL"))))))</f>
        <v>FAIL</v>
      </c>
      <c r="T5" s="9">
        <f>RANK(R5,R$5:R20)</f>
        <v>1</v>
      </c>
      <c r="U5" s="8"/>
    </row>
    <row r="6" spans="1:21" ht="21.95" customHeight="1">
      <c r="A6" s="7">
        <v>2</v>
      </c>
      <c r="B6" s="19">
        <v>2</v>
      </c>
      <c r="C6" s="20" t="s">
        <v>29</v>
      </c>
      <c r="D6" s="20" t="s">
        <v>30</v>
      </c>
      <c r="E6" s="20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8"/>
    </row>
    <row r="7" spans="1:21" ht="21.95" customHeight="1">
      <c r="A7" s="7">
        <v>3</v>
      </c>
      <c r="B7" s="19">
        <v>3</v>
      </c>
      <c r="C7" s="21" t="s">
        <v>31</v>
      </c>
      <c r="D7" s="21" t="s">
        <v>32</v>
      </c>
      <c r="E7" s="20" t="s">
        <v>21</v>
      </c>
      <c r="F7" s="8"/>
      <c r="G7" s="8"/>
      <c r="H7" s="8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8"/>
    </row>
    <row r="8" spans="1:21" ht="21.95" customHeight="1">
      <c r="A8" s="7">
        <v>4</v>
      </c>
      <c r="B8" s="19">
        <v>4</v>
      </c>
      <c r="C8" s="21" t="s">
        <v>33</v>
      </c>
      <c r="D8" s="21" t="s">
        <v>34</v>
      </c>
      <c r="E8" s="20" t="s">
        <v>24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8"/>
    </row>
    <row r="9" spans="1:21" ht="21.95" customHeight="1">
      <c r="A9" s="7">
        <v>5</v>
      </c>
      <c r="B9" s="19">
        <v>5</v>
      </c>
      <c r="C9" s="20" t="s">
        <v>35</v>
      </c>
      <c r="D9" s="20" t="s">
        <v>36</v>
      </c>
      <c r="E9" s="20" t="s">
        <v>37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8"/>
    </row>
    <row r="10" spans="1:21" ht="21.95" customHeight="1">
      <c r="A10" s="7">
        <v>6</v>
      </c>
      <c r="B10" s="19">
        <v>6</v>
      </c>
      <c r="C10" s="20" t="s">
        <v>38</v>
      </c>
      <c r="D10" s="20" t="s">
        <v>39</v>
      </c>
      <c r="E10" s="20" t="s">
        <v>26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8"/>
    </row>
    <row r="11" spans="1:21" ht="21.95" customHeight="1">
      <c r="A11" s="7">
        <v>7</v>
      </c>
      <c r="B11" s="19">
        <v>7</v>
      </c>
      <c r="C11" s="20" t="s">
        <v>40</v>
      </c>
      <c r="D11" s="20" t="s">
        <v>41</v>
      </c>
      <c r="E11" s="20" t="s">
        <v>21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8"/>
    </row>
    <row r="12" spans="1:21" ht="21.95" customHeight="1">
      <c r="A12" s="7">
        <v>8</v>
      </c>
      <c r="B12" s="19">
        <v>8</v>
      </c>
      <c r="C12" s="20" t="s">
        <v>42</v>
      </c>
      <c r="D12" s="20" t="s">
        <v>23</v>
      </c>
      <c r="E12" s="20" t="s">
        <v>21</v>
      </c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21.95" customHeight="1">
      <c r="A13" s="7">
        <v>9</v>
      </c>
      <c r="B13" s="19">
        <v>9</v>
      </c>
      <c r="C13" s="20" t="s">
        <v>43</v>
      </c>
      <c r="D13" s="21" t="s">
        <v>25</v>
      </c>
      <c r="E13" s="20" t="s">
        <v>21</v>
      </c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21.95" customHeight="1">
      <c r="A14" s="7">
        <v>10</v>
      </c>
      <c r="B14" s="19">
        <v>10</v>
      </c>
      <c r="C14" s="20" t="s">
        <v>54</v>
      </c>
      <c r="D14" s="21" t="s">
        <v>55</v>
      </c>
      <c r="E14" s="20" t="s">
        <v>20</v>
      </c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21.95" customHeight="1">
      <c r="A15" s="7">
        <v>11</v>
      </c>
      <c r="B15" s="19">
        <v>11</v>
      </c>
      <c r="C15" s="20" t="s">
        <v>56</v>
      </c>
      <c r="D15" s="21" t="s">
        <v>57</v>
      </c>
      <c r="E15" s="20" t="s">
        <v>21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8"/>
    </row>
    <row r="16" spans="1:21" ht="21.95" customHeight="1">
      <c r="A16" s="7">
        <v>12</v>
      </c>
      <c r="B16" s="19">
        <v>12</v>
      </c>
      <c r="C16" s="20" t="s">
        <v>58</v>
      </c>
      <c r="D16" s="21" t="s">
        <v>57</v>
      </c>
      <c r="E16" s="20" t="s">
        <v>21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9"/>
      <c r="U16" s="8"/>
    </row>
    <row r="17" spans="1:21" ht="21.95" customHeight="1">
      <c r="A17" s="7">
        <v>13</v>
      </c>
      <c r="B17" s="19">
        <v>13</v>
      </c>
      <c r="C17" s="20" t="s">
        <v>59</v>
      </c>
      <c r="D17" s="21" t="s">
        <v>60</v>
      </c>
      <c r="E17" s="20" t="s">
        <v>20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8"/>
    </row>
    <row r="18" spans="1:21" ht="21.95" customHeight="1">
      <c r="A18" s="7">
        <v>14</v>
      </c>
      <c r="B18" s="19">
        <v>14</v>
      </c>
      <c r="C18" s="20" t="s">
        <v>61</v>
      </c>
      <c r="D18" s="21" t="s">
        <v>62</v>
      </c>
      <c r="E18" s="20" t="s">
        <v>21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8"/>
    </row>
    <row r="19" spans="1:21" ht="22.5" customHeight="1">
      <c r="A19" s="7">
        <v>15</v>
      </c>
      <c r="B19" s="19">
        <v>15</v>
      </c>
      <c r="C19" s="20" t="s">
        <v>63</v>
      </c>
      <c r="D19" s="21" t="s">
        <v>64</v>
      </c>
      <c r="E19" s="20" t="s">
        <v>21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8"/>
    </row>
    <row r="20" spans="1:21" ht="23.25" customHeight="1">
      <c r="A20" s="17">
        <v>16</v>
      </c>
      <c r="B20" s="19">
        <v>16</v>
      </c>
      <c r="C20" s="20" t="s">
        <v>65</v>
      </c>
      <c r="D20" s="21" t="s">
        <v>66</v>
      </c>
      <c r="E20" s="20" t="s">
        <v>20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9"/>
      <c r="R20" s="9"/>
      <c r="S20" s="9"/>
      <c r="T20" s="9"/>
      <c r="U20" s="16"/>
    </row>
  </sheetData>
  <mergeCells count="4">
    <mergeCell ref="A1:U1"/>
    <mergeCell ref="A2:U2"/>
    <mergeCell ref="C3:D3"/>
    <mergeCell ref="E3:G3"/>
  </mergeCells>
  <pageMargins left="0" right="0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3:T18"/>
  <sheetViews>
    <sheetView workbookViewId="0">
      <selection activeCell="C16" sqref="C16"/>
    </sheetView>
  </sheetViews>
  <sheetFormatPr defaultColWidth="10" defaultRowHeight="15"/>
  <cols>
    <col min="1" max="1" width="5.42578125" bestFit="1" customWidth="1"/>
    <col min="2" max="2" width="8.5703125" bestFit="1" customWidth="1"/>
    <col min="3" max="3" width="17.5703125" bestFit="1" customWidth="1"/>
    <col min="4" max="4" width="15.42578125" bestFit="1" customWidth="1"/>
    <col min="5" max="5" width="8" bestFit="1" customWidth="1"/>
    <col min="6" max="21" width="4.7109375" customWidth="1"/>
  </cols>
  <sheetData>
    <row r="3" spans="1:20" s="10" customFormat="1" ht="100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16</v>
      </c>
      <c r="F3" s="6" t="s">
        <v>0</v>
      </c>
      <c r="G3" s="6" t="s">
        <v>2</v>
      </c>
      <c r="H3" s="6" t="s">
        <v>51</v>
      </c>
      <c r="I3" s="6" t="s">
        <v>1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18</v>
      </c>
      <c r="S3" s="14" t="s">
        <v>19</v>
      </c>
      <c r="T3" s="14" t="s">
        <v>11</v>
      </c>
    </row>
    <row r="4" spans="1:20" ht="23.1" customHeight="1">
      <c r="A4" s="19">
        <v>17</v>
      </c>
      <c r="B4" s="19">
        <v>17</v>
      </c>
      <c r="C4" s="20" t="s">
        <v>67</v>
      </c>
      <c r="D4" s="21" t="s">
        <v>68</v>
      </c>
      <c r="E4" s="2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3.1" customHeight="1">
      <c r="A5" s="19">
        <v>18</v>
      </c>
      <c r="B5" s="19">
        <v>18</v>
      </c>
      <c r="C5" s="20" t="s">
        <v>69</v>
      </c>
      <c r="D5" s="21" t="s">
        <v>70</v>
      </c>
      <c r="E5" s="20" t="s">
        <v>20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23.1" customHeight="1">
      <c r="A6" s="19">
        <v>19</v>
      </c>
      <c r="B6" s="19">
        <v>19</v>
      </c>
      <c r="C6" s="20" t="s">
        <v>71</v>
      </c>
      <c r="D6" s="21" t="s">
        <v>72</v>
      </c>
      <c r="E6" s="20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23.1" customHeight="1">
      <c r="A7" s="19">
        <v>20</v>
      </c>
      <c r="B7" s="19">
        <v>20</v>
      </c>
      <c r="C7" s="20" t="s">
        <v>73</v>
      </c>
      <c r="D7" s="21" t="s">
        <v>48</v>
      </c>
      <c r="E7" s="2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23.1" customHeight="1">
      <c r="A8" s="19">
        <v>21</v>
      </c>
      <c r="B8" s="19">
        <v>21</v>
      </c>
      <c r="C8" s="20" t="s">
        <v>74</v>
      </c>
      <c r="D8" s="21" t="s">
        <v>75</v>
      </c>
      <c r="E8" s="20" t="s">
        <v>21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23.1" customHeight="1">
      <c r="A9" s="19">
        <v>22</v>
      </c>
      <c r="B9" s="19">
        <v>22</v>
      </c>
      <c r="C9" s="20" t="s">
        <v>71</v>
      </c>
      <c r="D9" s="21" t="s">
        <v>76</v>
      </c>
      <c r="E9" s="20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23.1" customHeight="1">
      <c r="A10" s="19">
        <v>23</v>
      </c>
      <c r="B10" s="19">
        <v>23</v>
      </c>
      <c r="C10" s="20" t="s">
        <v>77</v>
      </c>
      <c r="D10" s="21" t="s">
        <v>78</v>
      </c>
      <c r="E10" s="20" t="s">
        <v>49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23.1" customHeight="1">
      <c r="A11" s="19">
        <v>24</v>
      </c>
      <c r="B11" s="19">
        <v>24</v>
      </c>
      <c r="C11" s="20" t="s">
        <v>44</v>
      </c>
      <c r="D11" s="20" t="s">
        <v>45</v>
      </c>
      <c r="E11" s="20" t="s">
        <v>21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23.1" customHeight="1">
      <c r="A12" s="19">
        <v>25</v>
      </c>
      <c r="B12" s="19">
        <v>25</v>
      </c>
      <c r="C12" s="20" t="s">
        <v>46</v>
      </c>
      <c r="D12" s="20" t="s">
        <v>22</v>
      </c>
      <c r="E12" s="20" t="s">
        <v>21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23.1" customHeight="1">
      <c r="A13" s="19">
        <v>26</v>
      </c>
      <c r="B13" s="19">
        <v>26</v>
      </c>
      <c r="C13" s="20" t="s">
        <v>47</v>
      </c>
      <c r="D13" s="20" t="s">
        <v>48</v>
      </c>
      <c r="E13" s="20" t="s">
        <v>49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23.1" customHeight="1">
      <c r="A14" s="7"/>
      <c r="B14" s="1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23.1" customHeight="1">
      <c r="A15" s="7"/>
      <c r="B15" s="1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23.1" customHeight="1">
      <c r="A16" s="7"/>
      <c r="B16" s="1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23.1" customHeight="1">
      <c r="A17" s="7"/>
      <c r="B17" s="1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23.1" customHeight="1">
      <c r="A18" s="7"/>
      <c r="B18" s="1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</sheetData>
  <pageMargins left="0" right="0" top="0" bottom="0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dcterms:created xsi:type="dcterms:W3CDTF">2024-05-22T21:14:03Z</dcterms:created>
  <dcterms:modified xsi:type="dcterms:W3CDTF">2026-06-30T10:36:50Z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dfd08257b2a1462a89163ba9b54ea236</vt:lpwstr>
  </property>
</Properties>
</file>