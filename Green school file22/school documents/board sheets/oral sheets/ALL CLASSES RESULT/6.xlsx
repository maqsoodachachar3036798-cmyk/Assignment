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oral sheets\ALL CLASSES RESULT\"/>
    </mc:Choice>
  </mc:AlternateContent>
  <bookViews>
    <workbookView xWindow="120" yWindow="75" windowWidth="15255" windowHeight="7935" activeTab="1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T5" i="1" l="1"/>
  <c r="U5" i="1" l="1"/>
  <c r="W5" i="1"/>
  <c r="V5" i="1"/>
</calcChain>
</file>

<file path=xl/sharedStrings.xml><?xml version="1.0" encoding="utf-8"?>
<sst xmlns="http://schemas.openxmlformats.org/spreadsheetml/2006/main" count="110" uniqueCount="73">
  <si>
    <t>ENGLISH</t>
  </si>
  <si>
    <t>SINDHI</t>
  </si>
  <si>
    <t>G.MATHS</t>
  </si>
  <si>
    <t>ISLAMIAT</t>
  </si>
  <si>
    <t>URDU</t>
  </si>
  <si>
    <t>ORAL</t>
  </si>
  <si>
    <t>ATTENDENCE</t>
  </si>
  <si>
    <t>DICIPLINE</t>
  </si>
  <si>
    <t>CLASS PERFORMANCE</t>
  </si>
  <si>
    <t>WRITING</t>
  </si>
  <si>
    <t>COMPLETE COPIES</t>
  </si>
  <si>
    <t>EXTRA ACTIVITIES</t>
  </si>
  <si>
    <t>TOTAL OBT MARKS</t>
  </si>
  <si>
    <t>RESULT</t>
  </si>
  <si>
    <t>S.NO</t>
  </si>
  <si>
    <t>SEAT NO</t>
  </si>
  <si>
    <t>NAME</t>
  </si>
  <si>
    <t>FATHER'S NAME</t>
  </si>
  <si>
    <t>CASTE</t>
  </si>
  <si>
    <t xml:space="preserve">                                                                                                                                                                              GREEN NATIONAL MODEL HIGH SCHOOL ADILPUR                                                                                                                                                                   </t>
  </si>
  <si>
    <t>PERCENTAGE</t>
  </si>
  <si>
    <t>GRADE</t>
  </si>
  <si>
    <t>Chachar</t>
  </si>
  <si>
    <t>Kalwar</t>
  </si>
  <si>
    <t>SCIENCE</t>
  </si>
  <si>
    <t>S.STUDY</t>
  </si>
  <si>
    <t>Gadani</t>
  </si>
  <si>
    <t>Muhammad Shaban</t>
  </si>
  <si>
    <t>Hakim Ali</t>
  </si>
  <si>
    <t>Abbasi</t>
  </si>
  <si>
    <t>Mustaqeem</t>
  </si>
  <si>
    <t>Abdul Qayoom</t>
  </si>
  <si>
    <t>Muhammad Murad</t>
  </si>
  <si>
    <t>Abid Hussain</t>
  </si>
  <si>
    <t>Rajib Ali</t>
  </si>
  <si>
    <t>Jan Muhammad</t>
  </si>
  <si>
    <t>Subhan Ali</t>
  </si>
  <si>
    <t>Barkat Ali</t>
  </si>
  <si>
    <t>Zahid Hussain</t>
  </si>
  <si>
    <t>Abdul Majeed</t>
  </si>
  <si>
    <t>Zakid Hussain</t>
  </si>
  <si>
    <t>Muhammad Ghuriyal</t>
  </si>
  <si>
    <t>Unar</t>
  </si>
  <si>
    <t>Aliya</t>
  </si>
  <si>
    <t>Imdad Ali</t>
  </si>
  <si>
    <t>Falak Nisa</t>
  </si>
  <si>
    <t>Maida</t>
  </si>
  <si>
    <t>Sikandar Ali</t>
  </si>
  <si>
    <t>Muqadas</t>
  </si>
  <si>
    <t>Ghulam Fareed</t>
  </si>
  <si>
    <t>Shamila</t>
  </si>
  <si>
    <t>Simran</t>
  </si>
  <si>
    <t>Wajid Ali</t>
  </si>
  <si>
    <t>Dharejo</t>
  </si>
  <si>
    <t>Noor-Ul-Ain</t>
  </si>
  <si>
    <t>Muhammad Allahyar</t>
  </si>
  <si>
    <t>Nosheen Akhtar</t>
  </si>
  <si>
    <t>Yaseen</t>
  </si>
  <si>
    <t>Wirand</t>
  </si>
  <si>
    <t>Wajeeha</t>
  </si>
  <si>
    <t>Warda</t>
  </si>
  <si>
    <t>Sadullah</t>
  </si>
  <si>
    <t>Taniya</t>
  </si>
  <si>
    <t>Mukesh</t>
  </si>
  <si>
    <t>CLASS: SIXTH</t>
  </si>
  <si>
    <t>RANK</t>
  </si>
  <si>
    <t>Marwari</t>
  </si>
  <si>
    <t>Azad Ali</t>
  </si>
  <si>
    <t>Gahino</t>
  </si>
  <si>
    <t>Sumair Ali</t>
  </si>
  <si>
    <t>Qurbar Ali</t>
  </si>
  <si>
    <t>Punhal</t>
  </si>
  <si>
    <t>ANNUAL EXAMINATION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</si>
</sst>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Bookman Old Style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1" xfId="0" applyBorder="1"/>
    <xf numFmtId="0" fontId="2" fillId="0" borderId="1" xfId="1" applyFont="1" applyBorder="1" applyAlignment="1">
      <alignment horizontal="center" vertical="justify" textRotation="90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0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1" applyFont="1" applyBorder="1" applyAlignment="1">
      <alignment horizontal="center" vertical="justify" textRotation="90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3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Views>
    <sheetView topLeftCell="A4" zoomScale="80" zoomScaleNormal="80" workbookViewId="0">
      <selection activeCell="T6" sqref="T6:W19"/>
    </sheetView>
  </sheetViews>
  <sheetFormatPr defaultRowHeight="15" x14ac:dyDescent="0.25"/>
  <cols>
    <col min="1" max="1" width="4.28515625" customWidth="1"/>
    <col min="2" max="2" width="4.5703125" customWidth="1"/>
    <col min="3" max="3" width="18.28515625" bestFit="1" customWidth="1"/>
    <col min="4" max="4" width="19.42578125" customWidth="1"/>
    <col min="5" max="5" width="8.140625" bestFit="1" customWidth="1"/>
    <col min="6" max="21" width="4.7109375" customWidth="1"/>
    <col min="22" max="22" width="5.28515625" customWidth="1"/>
    <col min="23" max="23" width="8.5703125" bestFit="1" customWidth="1"/>
    <col min="24" max="24" width="5.85546875" customWidth="1"/>
  </cols>
  <sheetData>
    <row r="1" spans="1:24" ht="21" x14ac:dyDescent="0.35">
      <c r="A1" s="19" t="s">
        <v>19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4" ht="21" x14ac:dyDescent="0.35">
      <c r="A2" s="20" t="s">
        <v>72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ht="20.25" customHeight="1" x14ac:dyDescent="0.35">
      <c r="A3" s="6"/>
      <c r="B3" s="6"/>
      <c r="C3" s="21" t="s">
        <v>64</v>
      </c>
      <c r="D3" s="21"/>
      <c r="E3" s="21"/>
      <c r="F3" s="21"/>
      <c r="G3" s="21"/>
      <c r="H3" s="21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9"/>
      <c r="U3" s="9"/>
      <c r="V3" s="6"/>
      <c r="W3" s="17"/>
      <c r="X3" s="6"/>
    </row>
    <row r="4" spans="1:24" ht="81.75" customHeight="1" x14ac:dyDescent="0.25">
      <c r="A4" s="8" t="s">
        <v>14</v>
      </c>
      <c r="B4" s="5" t="s">
        <v>15</v>
      </c>
      <c r="C4" s="3" t="s">
        <v>16</v>
      </c>
      <c r="D4" s="3" t="s">
        <v>17</v>
      </c>
      <c r="E4" s="3" t="s">
        <v>18</v>
      </c>
      <c r="F4" s="2" t="s">
        <v>0</v>
      </c>
      <c r="G4" s="2" t="s">
        <v>24</v>
      </c>
      <c r="H4" s="2" t="s">
        <v>2</v>
      </c>
      <c r="I4" s="2" t="s">
        <v>25</v>
      </c>
      <c r="J4" s="2" t="s">
        <v>1</v>
      </c>
      <c r="K4" s="2" t="s">
        <v>4</v>
      </c>
      <c r="L4" s="2" t="s">
        <v>3</v>
      </c>
      <c r="M4" s="2" t="s">
        <v>5</v>
      </c>
      <c r="N4" s="2" t="s">
        <v>6</v>
      </c>
      <c r="O4" s="2" t="s">
        <v>7</v>
      </c>
      <c r="P4" s="2" t="s">
        <v>8</v>
      </c>
      <c r="Q4" s="2" t="s">
        <v>9</v>
      </c>
      <c r="R4" s="2" t="s">
        <v>10</v>
      </c>
      <c r="S4" s="2" t="s">
        <v>11</v>
      </c>
      <c r="T4" s="2" t="s">
        <v>12</v>
      </c>
      <c r="U4" s="2" t="s">
        <v>20</v>
      </c>
      <c r="V4" s="2" t="s">
        <v>21</v>
      </c>
      <c r="W4" s="2" t="s">
        <v>65</v>
      </c>
      <c r="X4" s="2" t="s">
        <v>13</v>
      </c>
    </row>
    <row r="5" spans="1:24" ht="21.95" customHeight="1" x14ac:dyDescent="0.25">
      <c r="A5" s="7">
        <v>1</v>
      </c>
      <c r="B5" s="15">
        <v>601</v>
      </c>
      <c r="C5" s="16" t="s">
        <v>30</v>
      </c>
      <c r="D5" s="16" t="s">
        <v>31</v>
      </c>
      <c r="E5" s="1" t="s">
        <v>23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>
        <f>SUM(F5:S5)</f>
        <v>0</v>
      </c>
      <c r="U5" s="1">
        <f>SUM(T5/725*100)</f>
        <v>0</v>
      </c>
      <c r="V5" s="1" t="str">
        <f>IF(U5&gt;79.99,"A1",IF(U5&gt;69.99,"A",IF(U5&gt;59.99,"B",IF(U5&gt;49.99,"C",IF(U5&gt;39.99,"D",IF(U5&gt;32.99,"E","FAIL"))))))</f>
        <v>FAIL</v>
      </c>
      <c r="W5" s="1">
        <f>RANK(T5,T$5:T19)</f>
        <v>1</v>
      </c>
      <c r="X5" s="1"/>
    </row>
    <row r="6" spans="1:24" ht="21.95" customHeight="1" x14ac:dyDescent="0.25">
      <c r="A6" s="7">
        <v>2</v>
      </c>
      <c r="B6" s="15">
        <v>602</v>
      </c>
      <c r="C6" s="16" t="s">
        <v>32</v>
      </c>
      <c r="D6" s="16" t="s">
        <v>33</v>
      </c>
      <c r="E6" s="1" t="s">
        <v>26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21.95" customHeight="1" x14ac:dyDescent="0.25">
      <c r="A7" s="7">
        <v>3</v>
      </c>
      <c r="B7" s="15">
        <v>603</v>
      </c>
      <c r="C7" s="16" t="s">
        <v>34</v>
      </c>
      <c r="D7" s="16" t="s">
        <v>35</v>
      </c>
      <c r="E7" s="1" t="s">
        <v>23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.95" customHeight="1" x14ac:dyDescent="0.25">
      <c r="A8" s="7">
        <v>4</v>
      </c>
      <c r="B8" s="15">
        <v>604</v>
      </c>
      <c r="C8" s="1" t="s">
        <v>36</v>
      </c>
      <c r="D8" s="1" t="s">
        <v>37</v>
      </c>
      <c r="E8" s="1" t="s">
        <v>22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1.95" customHeight="1" x14ac:dyDescent="0.25">
      <c r="A9" s="7">
        <v>5</v>
      </c>
      <c r="B9" s="15">
        <v>605</v>
      </c>
      <c r="C9" s="16" t="s">
        <v>38</v>
      </c>
      <c r="D9" s="16" t="s">
        <v>39</v>
      </c>
      <c r="E9" s="1" t="s">
        <v>26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.95" customHeight="1" x14ac:dyDescent="0.25">
      <c r="A10" s="7">
        <v>6</v>
      </c>
      <c r="B10" s="15">
        <v>606</v>
      </c>
      <c r="C10" s="16" t="s">
        <v>67</v>
      </c>
      <c r="D10" s="16" t="s">
        <v>68</v>
      </c>
      <c r="E10" s="1" t="s">
        <v>58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1.95" customHeight="1" x14ac:dyDescent="0.25">
      <c r="A11" s="7">
        <v>7</v>
      </c>
      <c r="B11" s="15">
        <v>607</v>
      </c>
      <c r="C11" s="16" t="s">
        <v>69</v>
      </c>
      <c r="D11" s="16" t="s">
        <v>70</v>
      </c>
      <c r="E11" s="1" t="s">
        <v>58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1.95" customHeight="1" x14ac:dyDescent="0.25">
      <c r="A12" s="7">
        <v>8</v>
      </c>
      <c r="B12" s="15">
        <v>608</v>
      </c>
      <c r="C12" s="16" t="s">
        <v>63</v>
      </c>
      <c r="D12" s="16" t="s">
        <v>71</v>
      </c>
      <c r="E12" s="1" t="s">
        <v>66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1.95" customHeight="1" x14ac:dyDescent="0.25">
      <c r="A13" s="7">
        <v>9</v>
      </c>
      <c r="B13" s="15">
        <v>609</v>
      </c>
      <c r="C13" s="16" t="s">
        <v>40</v>
      </c>
      <c r="D13" s="16" t="s">
        <v>41</v>
      </c>
      <c r="E13" s="1" t="s">
        <v>42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1.95" customHeight="1" x14ac:dyDescent="0.25">
      <c r="A14" s="7">
        <v>10</v>
      </c>
      <c r="B14" s="15">
        <v>651</v>
      </c>
      <c r="C14" s="16" t="s">
        <v>43</v>
      </c>
      <c r="D14" s="16" t="s">
        <v>44</v>
      </c>
      <c r="E14" s="1" t="s">
        <v>23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1.95" customHeight="1" x14ac:dyDescent="0.25">
      <c r="A15" s="7">
        <v>11</v>
      </c>
      <c r="B15" s="15">
        <v>652</v>
      </c>
      <c r="C15" s="16" t="s">
        <v>45</v>
      </c>
      <c r="D15" s="16" t="s">
        <v>27</v>
      </c>
      <c r="E15" s="1" t="s">
        <v>23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1.95" customHeight="1" x14ac:dyDescent="0.25">
      <c r="A16" s="7">
        <v>12</v>
      </c>
      <c r="B16" s="15">
        <v>653</v>
      </c>
      <c r="C16" s="16" t="s">
        <v>46</v>
      </c>
      <c r="D16" s="16" t="s">
        <v>47</v>
      </c>
      <c r="E16" s="1" t="s">
        <v>23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1.95" customHeight="1" x14ac:dyDescent="0.25">
      <c r="A17" s="7">
        <v>13</v>
      </c>
      <c r="B17" s="15">
        <v>654</v>
      </c>
      <c r="C17" s="16" t="s">
        <v>48</v>
      </c>
      <c r="D17" s="16" t="s">
        <v>49</v>
      </c>
      <c r="E17" s="1" t="s">
        <v>23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1.95" customHeight="1" x14ac:dyDescent="0.25">
      <c r="A18" s="7">
        <v>14</v>
      </c>
      <c r="B18" s="15">
        <v>655</v>
      </c>
      <c r="C18" s="16" t="s">
        <v>50</v>
      </c>
      <c r="D18" s="16" t="s">
        <v>47</v>
      </c>
      <c r="E18" s="1" t="s">
        <v>23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1.75" customHeight="1" x14ac:dyDescent="0.25">
      <c r="A19" s="7">
        <v>15</v>
      </c>
      <c r="B19" s="15">
        <v>656</v>
      </c>
      <c r="C19" s="16" t="s">
        <v>51</v>
      </c>
      <c r="D19" s="16" t="s">
        <v>52</v>
      </c>
      <c r="E19" s="1" t="s">
        <v>53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</sheetData>
  <mergeCells count="4">
    <mergeCell ref="A1:X1"/>
    <mergeCell ref="A2:X2"/>
    <mergeCell ref="C3:D3"/>
    <mergeCell ref="E3:H3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18"/>
  <sheetViews>
    <sheetView tabSelected="1" topLeftCell="A4" zoomScaleNormal="100" workbookViewId="0">
      <selection activeCell="F3" sqref="F3:L3"/>
    </sheetView>
  </sheetViews>
  <sheetFormatPr defaultRowHeight="15" x14ac:dyDescent="0.25"/>
  <cols>
    <col min="1" max="1" width="5.42578125" customWidth="1"/>
    <col min="2" max="2" width="5.7109375" customWidth="1"/>
    <col min="3" max="3" width="18.7109375" customWidth="1"/>
    <col min="4" max="4" width="19.5703125" bestFit="1" customWidth="1"/>
    <col min="5" max="5" width="7.42578125" bestFit="1" customWidth="1"/>
    <col min="6" max="23" width="4.7109375" customWidth="1"/>
  </cols>
  <sheetData>
    <row r="3" spans="1:23" s="10" customFormat="1" ht="100.5" customHeight="1" x14ac:dyDescent="0.25">
      <c r="A3" s="11" t="s">
        <v>14</v>
      </c>
      <c r="B3" s="12" t="s">
        <v>15</v>
      </c>
      <c r="C3" s="13" t="s">
        <v>16</v>
      </c>
      <c r="D3" s="13" t="s">
        <v>17</v>
      </c>
      <c r="E3" s="13" t="s">
        <v>18</v>
      </c>
      <c r="F3" s="2" t="s">
        <v>0</v>
      </c>
      <c r="G3" s="2" t="s">
        <v>24</v>
      </c>
      <c r="H3" s="2" t="s">
        <v>2</v>
      </c>
      <c r="I3" s="2" t="s">
        <v>25</v>
      </c>
      <c r="J3" s="2" t="s">
        <v>1</v>
      </c>
      <c r="K3" s="2" t="s">
        <v>4</v>
      </c>
      <c r="L3" s="2" t="s">
        <v>3</v>
      </c>
      <c r="M3" s="14" t="s">
        <v>5</v>
      </c>
      <c r="N3" s="14" t="s">
        <v>6</v>
      </c>
      <c r="O3" s="14" t="s">
        <v>7</v>
      </c>
      <c r="P3" s="14" t="s">
        <v>8</v>
      </c>
      <c r="Q3" s="14" t="s">
        <v>9</v>
      </c>
      <c r="R3" s="14" t="s">
        <v>10</v>
      </c>
      <c r="S3" s="14" t="s">
        <v>11</v>
      </c>
      <c r="T3" s="14" t="s">
        <v>12</v>
      </c>
      <c r="U3" s="14" t="s">
        <v>20</v>
      </c>
      <c r="V3" s="14" t="s">
        <v>21</v>
      </c>
      <c r="W3" s="14" t="s">
        <v>13</v>
      </c>
    </row>
    <row r="4" spans="1:23" s="10" customFormat="1" ht="23.25" customHeight="1" x14ac:dyDescent="0.25">
      <c r="A4" s="18">
        <v>16</v>
      </c>
      <c r="B4" s="15">
        <v>657</v>
      </c>
      <c r="C4" s="16" t="s">
        <v>54</v>
      </c>
      <c r="D4" s="16" t="s">
        <v>55</v>
      </c>
      <c r="E4" s="1" t="s">
        <v>29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r="5" spans="1:23" ht="21.95" customHeight="1" x14ac:dyDescent="0.25">
      <c r="A5" s="7">
        <v>17</v>
      </c>
      <c r="B5" s="15">
        <v>658</v>
      </c>
      <c r="C5" s="16" t="s">
        <v>56</v>
      </c>
      <c r="D5" s="16" t="s">
        <v>57</v>
      </c>
      <c r="E5" s="1" t="s">
        <v>58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1.95" customHeight="1" x14ac:dyDescent="0.25">
      <c r="A6" s="18">
        <v>18</v>
      </c>
      <c r="B6" s="15">
        <v>659</v>
      </c>
      <c r="C6" s="16" t="s">
        <v>59</v>
      </c>
      <c r="D6" s="16" t="s">
        <v>28</v>
      </c>
      <c r="E6" s="1" t="s">
        <v>23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1.95" customHeight="1" x14ac:dyDescent="0.25">
      <c r="A7" s="7">
        <v>19</v>
      </c>
      <c r="B7" s="15">
        <v>660</v>
      </c>
      <c r="C7" s="16" t="s">
        <v>60</v>
      </c>
      <c r="D7" s="16" t="s">
        <v>61</v>
      </c>
      <c r="E7" s="1" t="s">
        <v>23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1.95" customHeight="1" x14ac:dyDescent="0.25">
      <c r="A8" s="18">
        <v>20</v>
      </c>
      <c r="B8" s="15">
        <v>661</v>
      </c>
      <c r="C8" s="16" t="s">
        <v>62</v>
      </c>
      <c r="D8" s="16" t="s">
        <v>44</v>
      </c>
      <c r="E8" s="1" t="s">
        <v>23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1.95" customHeight="1" x14ac:dyDescent="0.25">
      <c r="A9" s="7">
        <v>21</v>
      </c>
      <c r="B9" s="15"/>
      <c r="C9" s="16"/>
      <c r="D9" s="1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1.95" customHeight="1" x14ac:dyDescent="0.25">
      <c r="A10" s="18">
        <v>22</v>
      </c>
      <c r="B10" s="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1.95" customHeight="1" x14ac:dyDescent="0.25">
      <c r="A11" s="7">
        <v>23</v>
      </c>
      <c r="B11" s="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1.95" customHeight="1" x14ac:dyDescent="0.25">
      <c r="A12" s="18">
        <v>24</v>
      </c>
      <c r="B12" s="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1.95" customHeight="1" x14ac:dyDescent="0.25">
      <c r="A13" s="7">
        <v>25</v>
      </c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1.95" customHeight="1" x14ac:dyDescent="0.25">
      <c r="A14" s="18">
        <v>26</v>
      </c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1.95" customHeight="1" x14ac:dyDescent="0.25">
      <c r="A15" s="7">
        <v>27</v>
      </c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1.95" customHeight="1" x14ac:dyDescent="0.25">
      <c r="A16" s="18">
        <v>28</v>
      </c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1.95" customHeight="1" x14ac:dyDescent="0.25">
      <c r="A17" s="7">
        <v>29</v>
      </c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1.95" customHeight="1" x14ac:dyDescent="0.25">
      <c r="A18" s="18">
        <v>30</v>
      </c>
      <c r="B18" s="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</sheetData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Windows User</cp:lastModifiedBy>
  <cp:lastPrinted>2026-03-03T08:59:31Z</cp:lastPrinted>
  <dcterms:created xsi:type="dcterms:W3CDTF">2024-05-23T07:14:03Z</dcterms:created>
  <dcterms:modified xsi:type="dcterms:W3CDTF">2026-03-03T08:59:34Z</dcterms:modified>
</cp:coreProperties>
</file>