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2ND TERM 15-12-2025-26 - Copy\oral sheets\ALL CLASSES RESULT\"/>
    </mc:Choice>
  </mc:AlternateContent>
  <bookViews>
    <workbookView xWindow="0" yWindow="0" windowWidth="15360" windowHeight="765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5" i="1"/>
</calcChain>
</file>

<file path=xl/sharedStrings.xml><?xml version="1.0" encoding="utf-8"?>
<sst xmlns="http://schemas.openxmlformats.org/spreadsheetml/2006/main" count="366" uniqueCount="100">
  <si>
    <t>ENGLISH</t>
  </si>
  <si>
    <t>SINDHI</t>
  </si>
  <si>
    <t>G.MATHS</t>
  </si>
  <si>
    <t>ISLAMIAT</t>
  </si>
  <si>
    <t>S.STUDIES</t>
  </si>
  <si>
    <t>G.SCIENCE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</si>
  <si>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</si>
  <si>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</si>
  <si>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</si>
  <si>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</si>
  <si>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</si>
  <si>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</si>
  <si>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</si>
  <si>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</si>
  <si>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</si>
  <si>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</si>
  <si>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</si>
  <si>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</si>
  <si>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</si>
  <si>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</si>
  <si>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</si>
  <si>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</si>
  <si>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</si>
  <si>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</si>
  <si>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</si>
  <si>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</si>
  <si>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FIRST TERM EXAMINATION 2025-2026</t>
  </si>
  <si>
    <t>SCIENCE</t>
  </si>
  <si>
    <t>S.STUDY</t>
  </si>
  <si>
    <t>Naseer Ahmed</t>
  </si>
  <si>
    <t>Gadani</t>
  </si>
  <si>
    <t>Kashif</t>
  </si>
  <si>
    <t>Hafizullah</t>
  </si>
  <si>
    <t>Muhammad Hasham</t>
  </si>
  <si>
    <t>Muhammad Ibrahim</t>
  </si>
  <si>
    <t>Indhar</t>
  </si>
  <si>
    <t>Raza</t>
  </si>
  <si>
    <t>Imtiaz Ali</t>
  </si>
  <si>
    <t>Toufeeque</t>
  </si>
  <si>
    <t>Rahmatullah</t>
  </si>
  <si>
    <t>Kolachi</t>
  </si>
  <si>
    <t>Waseem</t>
  </si>
  <si>
    <t>Abdul Qayoom</t>
  </si>
  <si>
    <t>Abdul Wahab</t>
  </si>
  <si>
    <t>Muhammad Nawaz</t>
  </si>
  <si>
    <t>Hidayatullah</t>
  </si>
  <si>
    <t>Parveez Ahmed</t>
  </si>
  <si>
    <t>Waqas</t>
  </si>
  <si>
    <t>Waqar Ali</t>
  </si>
  <si>
    <t>Abdullah</t>
  </si>
  <si>
    <t>Muhammad Ramzan</t>
  </si>
  <si>
    <t>Shahzaman</t>
  </si>
  <si>
    <t>Shafi Muhammad</t>
  </si>
  <si>
    <t>Solangi</t>
  </si>
  <si>
    <t>Meer Zaman</t>
  </si>
  <si>
    <t>Azhar Ali</t>
  </si>
  <si>
    <t>wahid Bux</t>
  </si>
  <si>
    <t>Ramzan Ali</t>
  </si>
  <si>
    <t>Rizwan Ali</t>
  </si>
  <si>
    <t>Dharejo</t>
  </si>
  <si>
    <t>Jalal Din</t>
  </si>
  <si>
    <t>Shahmeer Ali</t>
  </si>
  <si>
    <t>Abdul Samad</t>
  </si>
  <si>
    <t>Abid AlI</t>
  </si>
  <si>
    <t>Soomra</t>
  </si>
  <si>
    <t>Ikramullah</t>
  </si>
  <si>
    <t>Habibullah</t>
  </si>
  <si>
    <t>Furqan Ali</t>
  </si>
  <si>
    <t>Nizam ul Din</t>
  </si>
  <si>
    <t xml:space="preserve">Bilal Ahmed </t>
  </si>
  <si>
    <t>Waqar Ahmed</t>
  </si>
  <si>
    <t xml:space="preserve">Toheed Ahmed </t>
  </si>
  <si>
    <t>Qamar ul Din</t>
  </si>
  <si>
    <t>Abdul Rahman</t>
  </si>
  <si>
    <t>Abubakar</t>
  </si>
  <si>
    <t>Muhammad Ameen</t>
  </si>
  <si>
    <t>Aiza</t>
  </si>
  <si>
    <t>Anam</t>
  </si>
  <si>
    <t>Ghulam Fareed</t>
  </si>
  <si>
    <t>Asifa</t>
  </si>
  <si>
    <t>Abdul Shakoor</t>
  </si>
  <si>
    <t>Ayesha</t>
  </si>
  <si>
    <t>Abdul Hadi</t>
  </si>
  <si>
    <t>Falak</t>
  </si>
  <si>
    <t>Naila</t>
  </si>
  <si>
    <t>Akhtar ALI</t>
  </si>
  <si>
    <t>Muskan</t>
  </si>
  <si>
    <t>Imran Ali</t>
  </si>
  <si>
    <t>Shazia</t>
  </si>
  <si>
    <t>Haji Gadani</t>
  </si>
  <si>
    <t>Sitara</t>
  </si>
  <si>
    <t>Ali Akbar</t>
  </si>
  <si>
    <t>Noshaba</t>
  </si>
  <si>
    <t>Komal</t>
  </si>
  <si>
    <t>Barkat Ali</t>
  </si>
  <si>
    <t>CLASS: TWO</t>
  </si>
  <si>
    <t>A</t>
  </si>
  <si>
    <t>a</t>
  </si>
  <si>
    <t>A.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</si>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</sst>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b/>
      <sz val="16"/>
      <color rgb="FF000000"/>
      <name val="Calibri"/>
    </font>
    <font>
      <b/>
      <sz val="10"/>
      <color rgb="FF000000"/>
      <name val="Calibri"/>
    </font>
    <font>
      <b/>
      <sz val="10"/>
      <name val="Bookman Old Style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Bookman Old Style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/>
    <xf numFmtId="0" fontId="4" fillId="0" borderId="2" xfId="0" applyFont="1" applyBorder="1" applyAlignment="1"/>
    <xf numFmtId="0" fontId="2" fillId="0" borderId="2" xfId="0" applyFont="1" applyBorder="1" applyAlignment="1"/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0" borderId="2" xfId="1" applyFont="1" applyBorder="1" applyAlignment="1" applyProtection="1">
      <alignment horizontal="center" vertical="justify" textRotation="90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tabSelected="1" topLeftCell="C1" zoomScaleNormal="100" workbookViewId="0">
      <selection activeCell="R33" sqref="R33"/>
    </sheetView>
  </sheetViews>
  <sheetFormatPr defaultColWidth="10" defaultRowHeight="15"/>
  <cols>
    <col min="1" max="1" width="4.28515625" customWidth="1"/>
    <col min="2" max="2" width="4.85546875" customWidth="1"/>
    <col min="3" max="3" width="19.5703125" customWidth="1"/>
    <col min="4" max="4" width="19.42578125" customWidth="1"/>
    <col min="5" max="5" width="8" customWidth="1"/>
    <col min="6" max="24" width="4.7109375" customWidth="1"/>
  </cols>
  <sheetData>
    <row r="1" spans="1:24" ht="21">
      <c r="A1" s="17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1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20.25" customHeight="1">
      <c r="A3" s="1"/>
      <c r="B3" s="1"/>
      <c r="C3" s="19" t="s">
        <v>95</v>
      </c>
      <c r="D3" s="19"/>
      <c r="E3" s="19"/>
      <c r="F3" s="19"/>
      <c r="G3" s="19"/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2"/>
      <c r="V3" s="1"/>
      <c r="W3" s="16"/>
      <c r="X3" s="1"/>
    </row>
    <row r="4" spans="1:24" ht="81.75" customHeight="1">
      <c r="A4" s="3" t="s">
        <v>16</v>
      </c>
      <c r="B4" s="4" t="s">
        <v>17</v>
      </c>
      <c r="C4" s="5" t="s">
        <v>18</v>
      </c>
      <c r="D4" s="5" t="s">
        <v>19</v>
      </c>
      <c r="E4" s="5" t="s">
        <v>20</v>
      </c>
      <c r="F4" s="6" t="s">
        <v>0</v>
      </c>
      <c r="G4" s="6" t="s">
        <v>27</v>
      </c>
      <c r="H4" s="6" t="s">
        <v>2</v>
      </c>
      <c r="I4" s="6" t="s">
        <v>28</v>
      </c>
      <c r="J4" s="6" t="s">
        <v>1</v>
      </c>
      <c r="K4" s="6" t="s">
        <v>6</v>
      </c>
      <c r="L4" s="6" t="s">
        <v>3</v>
      </c>
      <c r="M4" s="6" t="s">
        <v>7</v>
      </c>
      <c r="N4" s="6" t="s">
        <v>8</v>
      </c>
      <c r="O4" s="6" t="s">
        <v>9</v>
      </c>
      <c r="P4" s="6" t="s">
        <v>10</v>
      </c>
      <c r="Q4" s="6" t="s">
        <v>11</v>
      </c>
      <c r="R4" s="6" t="s">
        <v>12</v>
      </c>
      <c r="S4" s="6" t="s">
        <v>13</v>
      </c>
      <c r="T4" s="6" t="s">
        <v>14</v>
      </c>
      <c r="U4" s="6" t="s">
        <v>22</v>
      </c>
      <c r="V4" s="6" t="s">
        <v>23</v>
      </c>
      <c r="W4" s="6" t="s">
        <v>99</v>
      </c>
      <c r="X4" s="6" t="s">
        <v>15</v>
      </c>
    </row>
    <row r="5" spans="1:24" ht="21.95" customHeight="1">
      <c r="A5" s="7">
        <v>1</v>
      </c>
      <c r="B5" s="8">
        <v>201</v>
      </c>
      <c r="C5" s="9" t="s">
        <v>31</v>
      </c>
      <c r="D5" s="9" t="s">
        <v>32</v>
      </c>
      <c r="E5" s="10" t="s">
        <v>24</v>
      </c>
      <c r="F5" s="10">
        <v>65</v>
      </c>
      <c r="G5" s="10">
        <v>53</v>
      </c>
      <c r="H5" s="10">
        <v>62</v>
      </c>
      <c r="I5" s="10">
        <v>50</v>
      </c>
      <c r="J5" s="10">
        <v>60</v>
      </c>
      <c r="K5" s="10">
        <v>58</v>
      </c>
      <c r="L5" s="10">
        <v>60</v>
      </c>
      <c r="M5" s="10">
        <v>80</v>
      </c>
      <c r="N5" s="10">
        <v>16</v>
      </c>
      <c r="O5" s="10">
        <v>15</v>
      </c>
      <c r="P5" s="10">
        <v>8</v>
      </c>
      <c r="Q5" s="10">
        <v>7</v>
      </c>
      <c r="R5" s="10">
        <v>12</v>
      </c>
      <c r="S5" s="10">
        <v>14</v>
      </c>
      <c r="T5" s="10">
        <f>SUM(F5:S5)</f>
        <v>560</v>
      </c>
      <c r="U5" s="10">
        <f>SUM(T5/725*100)</f>
        <v>77.241379310344826</v>
      </c>
      <c r="V5" s="10" t="str">
        <f>IF(U5&gt;79.99,"A1",IF(U5&gt;69.99,"A",IF(U5&gt;59.99,"B",IF(U5&gt;49.99,"C",IF(U5&gt;39.99,"D",IF(U5&gt;32.99,"E","FAIL"))))))</f>
        <v>A</v>
      </c>
      <c r="W5" s="10">
        <f>RANK(U5,U$5:U36)</f>
        <v>6</v>
      </c>
      <c r="X5" s="10"/>
    </row>
    <row r="6" spans="1:24" ht="21.95" customHeight="1">
      <c r="A6" s="7">
        <v>2</v>
      </c>
      <c r="B6" s="8">
        <v>202</v>
      </c>
      <c r="C6" s="9" t="s">
        <v>33</v>
      </c>
      <c r="D6" s="9" t="s">
        <v>34</v>
      </c>
      <c r="E6" s="10" t="s">
        <v>35</v>
      </c>
      <c r="F6" s="10">
        <v>48</v>
      </c>
      <c r="G6" s="10">
        <v>43</v>
      </c>
      <c r="H6" s="10">
        <v>11</v>
      </c>
      <c r="I6" s="10">
        <v>20</v>
      </c>
      <c r="J6" s="10">
        <v>53</v>
      </c>
      <c r="K6" s="10">
        <v>51</v>
      </c>
      <c r="L6" s="10">
        <v>53</v>
      </c>
      <c r="M6" s="10">
        <v>38</v>
      </c>
      <c r="N6" s="10">
        <v>53</v>
      </c>
      <c r="O6" s="10">
        <v>38</v>
      </c>
      <c r="P6" s="10">
        <v>16</v>
      </c>
      <c r="Q6" s="10">
        <v>15</v>
      </c>
      <c r="R6" s="10">
        <v>15</v>
      </c>
      <c r="S6" s="10">
        <v>13</v>
      </c>
      <c r="T6" s="10">
        <f t="shared" ref="T6:T36" si="0">SUM(F6:S6)</f>
        <v>467</v>
      </c>
      <c r="U6" s="10">
        <f t="shared" ref="U6:U36" si="1">SUM(T6/725*100)</f>
        <v>64.413793103448285</v>
      </c>
      <c r="V6" s="10" t="str">
        <f t="shared" ref="V6:V36" si="2">IF(U6&gt;79.99,"A1",IF(U6&gt;69.99,"A",IF(U6&gt;59.99,"B",IF(U6&gt;49.99,"C",IF(U6&gt;39.99,"D",IF(U6&gt;32.99,"E","FAIL"))))))</f>
        <v>B</v>
      </c>
      <c r="W6" s="10">
        <f>RANK(U6,U$5:U37)</f>
        <v>12</v>
      </c>
      <c r="X6" s="10"/>
    </row>
    <row r="7" spans="1:24" ht="21.95" customHeight="1">
      <c r="A7" s="7">
        <v>3</v>
      </c>
      <c r="B7" s="8">
        <v>203</v>
      </c>
      <c r="C7" s="9" t="s">
        <v>36</v>
      </c>
      <c r="D7" s="9" t="s">
        <v>37</v>
      </c>
      <c r="E7" s="10" t="s">
        <v>25</v>
      </c>
      <c r="F7" s="10">
        <v>10</v>
      </c>
      <c r="G7" s="10">
        <v>25</v>
      </c>
      <c r="H7" s="10">
        <v>7</v>
      </c>
      <c r="I7" s="10" t="s">
        <v>96</v>
      </c>
      <c r="J7" s="10">
        <v>40</v>
      </c>
      <c r="K7" s="10">
        <v>41</v>
      </c>
      <c r="L7" s="10">
        <v>26</v>
      </c>
      <c r="M7" s="10" t="s">
        <v>96</v>
      </c>
      <c r="N7" s="10">
        <v>7</v>
      </c>
      <c r="O7" s="10">
        <v>10</v>
      </c>
      <c r="P7" s="10">
        <v>5</v>
      </c>
      <c r="Q7" s="10">
        <v>5</v>
      </c>
      <c r="R7" s="10">
        <v>3</v>
      </c>
      <c r="S7" s="10">
        <v>8</v>
      </c>
      <c r="T7" s="10">
        <f t="shared" si="0"/>
        <v>187</v>
      </c>
      <c r="U7" s="10">
        <f t="shared" si="1"/>
        <v>25.793103448275861</v>
      </c>
      <c r="V7" s="10" t="str">
        <f t="shared" si="2"/>
        <v>FAIL</v>
      </c>
      <c r="W7" s="10">
        <f>RANK(U7,U$5:U38)</f>
        <v>21</v>
      </c>
      <c r="X7" s="10"/>
    </row>
    <row r="8" spans="1:24" ht="21.95" customHeight="1">
      <c r="A8" s="7">
        <v>4</v>
      </c>
      <c r="B8" s="8">
        <v>204</v>
      </c>
      <c r="C8" s="9" t="s">
        <v>38</v>
      </c>
      <c r="D8" s="9" t="s">
        <v>39</v>
      </c>
      <c r="E8" s="10" t="s">
        <v>40</v>
      </c>
      <c r="F8" s="10" t="s">
        <v>96</v>
      </c>
      <c r="G8" s="10" t="s">
        <v>96</v>
      </c>
      <c r="H8" s="10" t="s">
        <v>96</v>
      </c>
      <c r="I8" s="10" t="s">
        <v>96</v>
      </c>
      <c r="J8" s="10" t="s">
        <v>96</v>
      </c>
      <c r="K8" s="10" t="s">
        <v>96</v>
      </c>
      <c r="L8" s="10" t="s">
        <v>96</v>
      </c>
      <c r="M8" s="10" t="s">
        <v>96</v>
      </c>
      <c r="N8" s="10" t="s">
        <v>96</v>
      </c>
      <c r="O8" s="10" t="s">
        <v>96</v>
      </c>
      <c r="P8" s="10" t="s">
        <v>96</v>
      </c>
      <c r="Q8" s="10" t="s">
        <v>96</v>
      </c>
      <c r="R8" s="10" t="s">
        <v>96</v>
      </c>
      <c r="S8" s="10" t="s">
        <v>96</v>
      </c>
      <c r="T8" s="10">
        <f t="shared" si="0"/>
        <v>0</v>
      </c>
      <c r="U8" s="10">
        <f t="shared" si="1"/>
        <v>0</v>
      </c>
      <c r="V8" s="10" t="str">
        <f t="shared" si="2"/>
        <v>FAIL</v>
      </c>
      <c r="W8" s="10">
        <f>RANK(U8,U$5:U39)</f>
        <v>30</v>
      </c>
      <c r="X8" s="10"/>
    </row>
    <row r="9" spans="1:24" ht="21.95" customHeight="1">
      <c r="A9" s="7">
        <v>5</v>
      </c>
      <c r="B9" s="8">
        <v>205</v>
      </c>
      <c r="C9" s="9" t="s">
        <v>41</v>
      </c>
      <c r="D9" s="9" t="s">
        <v>42</v>
      </c>
      <c r="E9" s="10" t="s">
        <v>25</v>
      </c>
      <c r="F9" s="10">
        <v>63</v>
      </c>
      <c r="G9" s="10">
        <v>50</v>
      </c>
      <c r="H9" s="10">
        <v>63</v>
      </c>
      <c r="I9" s="10">
        <v>65</v>
      </c>
      <c r="J9" s="10">
        <v>60</v>
      </c>
      <c r="K9" s="10">
        <v>58</v>
      </c>
      <c r="L9" s="10">
        <v>62</v>
      </c>
      <c r="M9" s="10" t="s">
        <v>96</v>
      </c>
      <c r="N9" s="10">
        <v>14</v>
      </c>
      <c r="O9" s="10">
        <v>12</v>
      </c>
      <c r="P9" s="10">
        <v>7</v>
      </c>
      <c r="Q9" s="10">
        <v>6</v>
      </c>
      <c r="R9" s="10">
        <v>10</v>
      </c>
      <c r="S9" s="10">
        <v>7</v>
      </c>
      <c r="T9" s="10">
        <f t="shared" si="0"/>
        <v>477</v>
      </c>
      <c r="U9" s="10">
        <f t="shared" si="1"/>
        <v>65.793103448275858</v>
      </c>
      <c r="V9" s="10" t="str">
        <f t="shared" si="2"/>
        <v>B</v>
      </c>
      <c r="W9" s="10">
        <f>RANK(U9,U$5:U40)</f>
        <v>10</v>
      </c>
      <c r="X9" s="10"/>
    </row>
    <row r="10" spans="1:24" ht="21.95" customHeight="1">
      <c r="A10" s="7">
        <v>6</v>
      </c>
      <c r="B10" s="8">
        <v>206</v>
      </c>
      <c r="C10" s="9" t="s">
        <v>43</v>
      </c>
      <c r="D10" s="9" t="s">
        <v>44</v>
      </c>
      <c r="E10" s="10" t="s">
        <v>24</v>
      </c>
      <c r="F10" s="10">
        <v>43</v>
      </c>
      <c r="G10" s="10">
        <v>58</v>
      </c>
      <c r="H10" s="10">
        <v>43</v>
      </c>
      <c r="I10" s="10">
        <v>66</v>
      </c>
      <c r="J10" s="10">
        <v>64</v>
      </c>
      <c r="K10" s="10">
        <v>60</v>
      </c>
      <c r="L10" s="10" t="s">
        <v>96</v>
      </c>
      <c r="M10" s="10">
        <v>15</v>
      </c>
      <c r="N10" s="10">
        <v>14</v>
      </c>
      <c r="O10" s="10">
        <v>12</v>
      </c>
      <c r="P10" s="10">
        <v>8</v>
      </c>
      <c r="Q10" s="10">
        <v>6</v>
      </c>
      <c r="R10" s="10">
        <v>10</v>
      </c>
      <c r="S10" s="10">
        <v>7</v>
      </c>
      <c r="T10" s="10">
        <f t="shared" si="0"/>
        <v>406</v>
      </c>
      <c r="U10" s="10">
        <f t="shared" si="1"/>
        <v>56.000000000000007</v>
      </c>
      <c r="V10" s="10" t="str">
        <f t="shared" si="2"/>
        <v>C</v>
      </c>
      <c r="W10" s="10">
        <f>RANK(U10,U$5:U41)</f>
        <v>13</v>
      </c>
      <c r="X10" s="10"/>
    </row>
    <row r="11" spans="1:24" ht="21.95" customHeight="1">
      <c r="A11" s="7">
        <v>7</v>
      </c>
      <c r="B11" s="8">
        <v>207</v>
      </c>
      <c r="C11" s="9" t="s">
        <v>45</v>
      </c>
      <c r="D11" s="9" t="s">
        <v>46</v>
      </c>
      <c r="E11" s="10" t="s">
        <v>30</v>
      </c>
      <c r="F11" s="10">
        <v>64</v>
      </c>
      <c r="G11" s="10">
        <v>60</v>
      </c>
      <c r="H11" s="10">
        <v>64</v>
      </c>
      <c r="I11" s="10">
        <v>73</v>
      </c>
      <c r="J11" s="10">
        <v>66</v>
      </c>
      <c r="K11" s="10">
        <v>62</v>
      </c>
      <c r="L11" s="10">
        <v>58</v>
      </c>
      <c r="M11" s="10">
        <v>85</v>
      </c>
      <c r="N11" s="10">
        <v>18</v>
      </c>
      <c r="O11" s="10">
        <v>17</v>
      </c>
      <c r="P11" s="10">
        <v>8</v>
      </c>
      <c r="Q11" s="10">
        <v>8</v>
      </c>
      <c r="R11" s="10">
        <v>18</v>
      </c>
      <c r="S11" s="10">
        <v>15</v>
      </c>
      <c r="T11" s="10">
        <f t="shared" si="0"/>
        <v>616</v>
      </c>
      <c r="U11" s="10">
        <f t="shared" si="1"/>
        <v>84.965517241379303</v>
      </c>
      <c r="V11" s="10" t="str">
        <f t="shared" si="2"/>
        <v>A1</v>
      </c>
      <c r="W11" s="10">
        <f>RANK(U11,U$5:U42)</f>
        <v>3</v>
      </c>
      <c r="X11" s="10"/>
    </row>
    <row r="12" spans="1:24" ht="21.95" customHeight="1">
      <c r="A12" s="7">
        <v>8</v>
      </c>
      <c r="B12" s="8">
        <v>208</v>
      </c>
      <c r="C12" s="9" t="s">
        <v>47</v>
      </c>
      <c r="D12" s="9" t="s">
        <v>48</v>
      </c>
      <c r="E12" s="10" t="s">
        <v>40</v>
      </c>
      <c r="F12" s="10">
        <v>69</v>
      </c>
      <c r="G12" s="10">
        <v>48</v>
      </c>
      <c r="H12" s="10">
        <v>56</v>
      </c>
      <c r="I12" s="10">
        <v>55</v>
      </c>
      <c r="J12" s="10">
        <v>70</v>
      </c>
      <c r="K12" s="10">
        <v>62</v>
      </c>
      <c r="L12" s="10">
        <v>65</v>
      </c>
      <c r="M12" s="10">
        <v>60</v>
      </c>
      <c r="N12" s="10">
        <v>15</v>
      </c>
      <c r="O12" s="10">
        <v>17</v>
      </c>
      <c r="P12" s="10">
        <v>7</v>
      </c>
      <c r="Q12" s="10">
        <v>7</v>
      </c>
      <c r="R12" s="10">
        <v>18</v>
      </c>
      <c r="S12" s="10">
        <v>13</v>
      </c>
      <c r="T12" s="10">
        <f t="shared" si="0"/>
        <v>562</v>
      </c>
      <c r="U12" s="10">
        <f t="shared" si="1"/>
        <v>77.517241379310349</v>
      </c>
      <c r="V12" s="10" t="str">
        <f t="shared" si="2"/>
        <v>A</v>
      </c>
      <c r="W12" s="10">
        <f>RANK(U12,U$5:U43)</f>
        <v>5</v>
      </c>
      <c r="X12" s="10"/>
    </row>
    <row r="13" spans="1:24" ht="21.95" customHeight="1">
      <c r="A13" s="7">
        <v>9</v>
      </c>
      <c r="B13" s="8">
        <v>209</v>
      </c>
      <c r="C13" s="9" t="s">
        <v>49</v>
      </c>
      <c r="D13" s="9" t="s">
        <v>50</v>
      </c>
      <c r="E13" s="10" t="s">
        <v>25</v>
      </c>
      <c r="F13" s="10">
        <v>52</v>
      </c>
      <c r="G13" s="10">
        <v>58</v>
      </c>
      <c r="H13" s="10">
        <v>53</v>
      </c>
      <c r="I13" s="10">
        <v>46</v>
      </c>
      <c r="J13" s="10">
        <v>60</v>
      </c>
      <c r="K13" s="10">
        <v>51</v>
      </c>
      <c r="L13" s="10">
        <v>48</v>
      </c>
      <c r="M13" s="10">
        <v>65</v>
      </c>
      <c r="N13" s="10">
        <v>18</v>
      </c>
      <c r="O13" s="10">
        <v>18</v>
      </c>
      <c r="P13" s="10">
        <v>7</v>
      </c>
      <c r="Q13" s="10">
        <v>7</v>
      </c>
      <c r="R13" s="10">
        <v>14</v>
      </c>
      <c r="S13" s="10">
        <v>15</v>
      </c>
      <c r="T13" s="10">
        <f t="shared" si="0"/>
        <v>512</v>
      </c>
      <c r="U13" s="10">
        <f t="shared" si="1"/>
        <v>70.620689655172413</v>
      </c>
      <c r="V13" s="10" t="str">
        <f t="shared" si="2"/>
        <v>A</v>
      </c>
      <c r="W13" s="10">
        <f>RANK(U13,U$5:U44)</f>
        <v>9</v>
      </c>
      <c r="X13" s="10"/>
    </row>
    <row r="14" spans="1:24" ht="21.95" customHeight="1">
      <c r="A14" s="7">
        <v>10</v>
      </c>
      <c r="B14" s="8">
        <v>210</v>
      </c>
      <c r="C14" s="9" t="s">
        <v>51</v>
      </c>
      <c r="D14" s="9" t="s">
        <v>52</v>
      </c>
      <c r="E14" s="10" t="s">
        <v>53</v>
      </c>
      <c r="F14" s="10">
        <v>28</v>
      </c>
      <c r="G14" s="10" t="s">
        <v>96</v>
      </c>
      <c r="H14" s="10">
        <v>28</v>
      </c>
      <c r="I14" s="10" t="s">
        <v>96</v>
      </c>
      <c r="J14" s="10">
        <v>4</v>
      </c>
      <c r="K14" s="10">
        <v>18</v>
      </c>
      <c r="L14" s="10">
        <v>21</v>
      </c>
      <c r="M14" s="10">
        <v>60</v>
      </c>
      <c r="N14" s="10">
        <v>51</v>
      </c>
      <c r="O14" s="10">
        <v>48</v>
      </c>
      <c r="P14" s="10">
        <v>65</v>
      </c>
      <c r="Q14" s="10">
        <v>15</v>
      </c>
      <c r="R14" s="10">
        <v>16</v>
      </c>
      <c r="S14" s="10">
        <v>8</v>
      </c>
      <c r="T14" s="10">
        <f t="shared" si="0"/>
        <v>362</v>
      </c>
      <c r="U14" s="10">
        <f t="shared" si="1"/>
        <v>49.931034482758619</v>
      </c>
      <c r="V14" s="10" t="str">
        <f t="shared" si="2"/>
        <v>D</v>
      </c>
      <c r="W14" s="10">
        <f>RANK(U14,U$5:U45)</f>
        <v>17</v>
      </c>
      <c r="X14" s="10"/>
    </row>
    <row r="15" spans="1:24" ht="21.95" customHeight="1">
      <c r="A15" s="7">
        <v>11</v>
      </c>
      <c r="B15" s="8">
        <v>211</v>
      </c>
      <c r="C15" s="9" t="s">
        <v>54</v>
      </c>
      <c r="D15" s="9" t="s">
        <v>52</v>
      </c>
      <c r="E15" s="10" t="s">
        <v>53</v>
      </c>
      <c r="F15" s="10">
        <v>51</v>
      </c>
      <c r="G15" s="10" t="s">
        <v>96</v>
      </c>
      <c r="H15" s="10">
        <v>57</v>
      </c>
      <c r="I15" s="10" t="s">
        <v>96</v>
      </c>
      <c r="J15" s="10">
        <v>68</v>
      </c>
      <c r="K15" s="10"/>
      <c r="L15" s="10">
        <v>58</v>
      </c>
      <c r="M15" s="10">
        <v>65</v>
      </c>
      <c r="N15" s="10">
        <v>15</v>
      </c>
      <c r="O15" s="10">
        <v>16</v>
      </c>
      <c r="P15" s="10">
        <v>8</v>
      </c>
      <c r="Q15" s="10">
        <v>5</v>
      </c>
      <c r="R15" s="10">
        <v>14</v>
      </c>
      <c r="S15" s="10">
        <v>12</v>
      </c>
      <c r="T15" s="10">
        <f t="shared" si="0"/>
        <v>369</v>
      </c>
      <c r="U15" s="10">
        <f t="shared" si="1"/>
        <v>50.896551724137929</v>
      </c>
      <c r="V15" s="10" t="str">
        <f t="shared" si="2"/>
        <v>C</v>
      </c>
      <c r="W15" s="10">
        <f>RANK(U15,U$5:U46)</f>
        <v>16</v>
      </c>
      <c r="X15" s="10"/>
    </row>
    <row r="16" spans="1:24" ht="21.95" hidden="1" customHeight="1">
      <c r="A16" s="7">
        <v>12</v>
      </c>
      <c r="B16" s="8">
        <v>212</v>
      </c>
      <c r="C16" s="9" t="s">
        <v>55</v>
      </c>
      <c r="D16" s="9" t="s">
        <v>56</v>
      </c>
      <c r="E16" s="10" t="s">
        <v>30</v>
      </c>
      <c r="F16" s="10" t="s">
        <v>96</v>
      </c>
      <c r="G16" s="10" t="s">
        <v>96</v>
      </c>
      <c r="H16" s="10" t="s">
        <v>96</v>
      </c>
      <c r="I16" s="10" t="s">
        <v>96</v>
      </c>
      <c r="J16" s="10" t="s">
        <v>96</v>
      </c>
      <c r="K16" s="10" t="s">
        <v>96</v>
      </c>
      <c r="L16" s="10" t="s">
        <v>96</v>
      </c>
      <c r="M16" s="10" t="s">
        <v>96</v>
      </c>
      <c r="N16" s="10" t="s">
        <v>96</v>
      </c>
      <c r="O16" s="10">
        <v>10</v>
      </c>
      <c r="P16" s="10">
        <v>6</v>
      </c>
      <c r="Q16" s="10">
        <v>5</v>
      </c>
      <c r="R16" s="10">
        <v>10</v>
      </c>
      <c r="S16" s="10">
        <v>12</v>
      </c>
      <c r="T16" s="10">
        <f t="shared" si="0"/>
        <v>43</v>
      </c>
      <c r="U16" s="10">
        <f t="shared" si="1"/>
        <v>5.931034482758621</v>
      </c>
      <c r="V16" s="10" t="str">
        <f t="shared" si="2"/>
        <v>FAIL</v>
      </c>
      <c r="W16" s="10">
        <f>RANK(U16,U$5:U47)</f>
        <v>23</v>
      </c>
      <c r="X16" s="10"/>
    </row>
    <row r="17" spans="1:24" ht="21.95" customHeight="1">
      <c r="A17" s="7">
        <v>13</v>
      </c>
      <c r="B17" s="8">
        <v>213</v>
      </c>
      <c r="C17" s="9" t="s">
        <v>57</v>
      </c>
      <c r="D17" s="9" t="s">
        <v>58</v>
      </c>
      <c r="E17" s="10" t="s">
        <v>59</v>
      </c>
      <c r="F17" s="10">
        <v>49</v>
      </c>
      <c r="G17" s="10">
        <v>29</v>
      </c>
      <c r="H17" s="10">
        <v>30</v>
      </c>
      <c r="I17" s="10">
        <v>26</v>
      </c>
      <c r="J17" s="10">
        <v>23</v>
      </c>
      <c r="K17" s="10">
        <v>2</v>
      </c>
      <c r="L17" s="10">
        <v>21</v>
      </c>
      <c r="M17" s="10">
        <v>50</v>
      </c>
      <c r="N17" s="10">
        <v>16</v>
      </c>
      <c r="O17" s="10">
        <v>11</v>
      </c>
      <c r="P17" s="10">
        <v>6</v>
      </c>
      <c r="Q17" s="10">
        <v>7</v>
      </c>
      <c r="R17" s="10">
        <v>5</v>
      </c>
      <c r="S17" s="10">
        <v>10</v>
      </c>
      <c r="T17" s="10">
        <f t="shared" si="0"/>
        <v>285</v>
      </c>
      <c r="U17" s="10">
        <f t="shared" si="1"/>
        <v>39.310344827586206</v>
      </c>
      <c r="V17" s="10" t="str">
        <f t="shared" si="2"/>
        <v>E</v>
      </c>
      <c r="W17" s="10">
        <f>RANK(U17,U$5:U48)</f>
        <v>20</v>
      </c>
      <c r="X17" s="10"/>
    </row>
    <row r="18" spans="1:24" ht="21.95" customHeight="1">
      <c r="A18" s="7">
        <v>14</v>
      </c>
      <c r="B18" s="8">
        <v>214</v>
      </c>
      <c r="C18" s="10" t="s">
        <v>60</v>
      </c>
      <c r="D18" s="10" t="s">
        <v>61</v>
      </c>
      <c r="E18" s="10" t="s">
        <v>53</v>
      </c>
      <c r="F18" s="10" t="s">
        <v>96</v>
      </c>
      <c r="G18" s="10" t="s">
        <v>96</v>
      </c>
      <c r="H18" s="10" t="s">
        <v>96</v>
      </c>
      <c r="I18" s="10" t="s">
        <v>96</v>
      </c>
      <c r="J18" s="10">
        <v>12</v>
      </c>
      <c r="K18" s="10" t="s">
        <v>96</v>
      </c>
      <c r="L18" s="10" t="s">
        <v>96</v>
      </c>
      <c r="M18" s="10" t="s">
        <v>96</v>
      </c>
      <c r="N18" s="10">
        <v>14</v>
      </c>
      <c r="O18" s="10">
        <v>8</v>
      </c>
      <c r="P18" s="10">
        <v>6</v>
      </c>
      <c r="Q18" s="10">
        <v>6</v>
      </c>
      <c r="R18" s="10">
        <v>5</v>
      </c>
      <c r="S18" s="10">
        <v>9</v>
      </c>
      <c r="T18" s="10">
        <f t="shared" si="0"/>
        <v>60</v>
      </c>
      <c r="U18" s="10">
        <f t="shared" si="1"/>
        <v>8.2758620689655178</v>
      </c>
      <c r="V18" s="10" t="str">
        <f t="shared" si="2"/>
        <v>FAIL</v>
      </c>
      <c r="W18" s="10">
        <f>RANK(U18,U$5:U49)</f>
        <v>22</v>
      </c>
      <c r="X18" s="10"/>
    </row>
    <row r="19" spans="1:24" ht="21.95" customHeight="1">
      <c r="A19" s="7">
        <v>15</v>
      </c>
      <c r="B19" s="8">
        <v>215</v>
      </c>
      <c r="C19" s="10" t="s">
        <v>62</v>
      </c>
      <c r="D19" s="10" t="s">
        <v>63</v>
      </c>
      <c r="E19" s="10" t="s">
        <v>64</v>
      </c>
      <c r="F19" s="10">
        <v>60</v>
      </c>
      <c r="G19" s="10">
        <v>34</v>
      </c>
      <c r="H19" s="10">
        <v>29</v>
      </c>
      <c r="I19" s="10">
        <v>25</v>
      </c>
      <c r="J19" s="10">
        <v>11</v>
      </c>
      <c r="K19" s="10">
        <v>27</v>
      </c>
      <c r="L19" s="10">
        <v>30</v>
      </c>
      <c r="M19" s="10">
        <v>60</v>
      </c>
      <c r="N19" s="10">
        <v>11</v>
      </c>
      <c r="O19" s="10">
        <v>14</v>
      </c>
      <c r="P19" s="10">
        <v>7</v>
      </c>
      <c r="Q19" s="10">
        <v>7</v>
      </c>
      <c r="R19" s="10">
        <v>5</v>
      </c>
      <c r="S19" s="10">
        <v>12</v>
      </c>
      <c r="T19" s="10">
        <f t="shared" si="0"/>
        <v>332</v>
      </c>
      <c r="U19" s="10">
        <f t="shared" si="1"/>
        <v>45.793103448275865</v>
      </c>
      <c r="V19" s="10" t="str">
        <f t="shared" si="2"/>
        <v>D</v>
      </c>
      <c r="W19" s="10">
        <f>RANK(U19,U$5:U50)</f>
        <v>19</v>
      </c>
      <c r="X19" s="10"/>
    </row>
    <row r="20" spans="1:24" ht="21.95" customHeight="1">
      <c r="A20" s="7">
        <v>16</v>
      </c>
      <c r="B20" s="8">
        <v>216</v>
      </c>
      <c r="C20" s="9" t="s">
        <v>65</v>
      </c>
      <c r="D20" s="9" t="s">
        <v>66</v>
      </c>
      <c r="E20" s="10" t="s">
        <v>40</v>
      </c>
      <c r="F20" s="11" t="s">
        <v>96</v>
      </c>
      <c r="G20" s="11" t="s">
        <v>96</v>
      </c>
      <c r="H20" s="11" t="s">
        <v>96</v>
      </c>
      <c r="I20" s="11" t="s">
        <v>96</v>
      </c>
      <c r="J20" s="11" t="s">
        <v>96</v>
      </c>
      <c r="K20" s="11" t="s">
        <v>96</v>
      </c>
      <c r="L20" s="11" t="s">
        <v>96</v>
      </c>
      <c r="M20" s="11" t="s">
        <v>96</v>
      </c>
      <c r="N20" s="11" t="s">
        <v>96</v>
      </c>
      <c r="O20" s="11" t="s">
        <v>96</v>
      </c>
      <c r="P20" s="11" t="s">
        <v>96</v>
      </c>
      <c r="Q20" s="11" t="s">
        <v>96</v>
      </c>
      <c r="R20" s="11" t="s">
        <v>96</v>
      </c>
      <c r="S20" s="11" t="s">
        <v>96</v>
      </c>
      <c r="T20" s="10">
        <f t="shared" si="0"/>
        <v>0</v>
      </c>
      <c r="U20" s="10">
        <f t="shared" si="1"/>
        <v>0</v>
      </c>
      <c r="V20" s="10" t="str">
        <f t="shared" si="2"/>
        <v>FAIL</v>
      </c>
      <c r="W20" s="10">
        <f>RANK(U20,U$5:U51)</f>
        <v>30</v>
      </c>
      <c r="X20" s="11"/>
    </row>
    <row r="21" spans="1:24">
      <c r="A21" s="7">
        <v>17</v>
      </c>
      <c r="B21" s="8">
        <v>217</v>
      </c>
      <c r="C21" s="10" t="s">
        <v>67</v>
      </c>
      <c r="D21" s="10" t="s">
        <v>68</v>
      </c>
      <c r="E21" s="10" t="s">
        <v>59</v>
      </c>
      <c r="F21" s="10">
        <v>45</v>
      </c>
      <c r="G21" s="10">
        <v>40</v>
      </c>
      <c r="H21" s="10">
        <v>50</v>
      </c>
      <c r="I21" s="10">
        <v>46</v>
      </c>
      <c r="J21" s="10">
        <v>48</v>
      </c>
      <c r="K21" s="10">
        <v>48</v>
      </c>
      <c r="L21" s="10">
        <v>38</v>
      </c>
      <c r="M21" s="10" t="s">
        <v>96</v>
      </c>
      <c r="N21" s="10">
        <v>14</v>
      </c>
      <c r="O21" s="10">
        <v>15</v>
      </c>
      <c r="P21" s="10">
        <v>6</v>
      </c>
      <c r="Q21" s="10">
        <v>5</v>
      </c>
      <c r="R21" s="10">
        <v>9</v>
      </c>
      <c r="S21" s="10">
        <v>11</v>
      </c>
      <c r="T21" s="10">
        <f t="shared" si="0"/>
        <v>375</v>
      </c>
      <c r="U21" s="10">
        <f t="shared" si="1"/>
        <v>51.724137931034484</v>
      </c>
      <c r="V21" s="10" t="str">
        <f t="shared" si="2"/>
        <v>C</v>
      </c>
      <c r="W21" s="10">
        <f>RANK(U21,U$5:U52)</f>
        <v>15</v>
      </c>
      <c r="X21" s="11"/>
    </row>
    <row r="22" spans="1:24">
      <c r="A22" s="7">
        <v>18</v>
      </c>
      <c r="B22" s="8">
        <v>218</v>
      </c>
      <c r="C22" s="10" t="s">
        <v>69</v>
      </c>
      <c r="D22" s="10" t="s">
        <v>70</v>
      </c>
      <c r="E22" s="10" t="s">
        <v>40</v>
      </c>
      <c r="F22" s="10">
        <v>62</v>
      </c>
      <c r="G22" s="10">
        <v>60</v>
      </c>
      <c r="H22" s="10">
        <v>62</v>
      </c>
      <c r="I22" s="10">
        <v>63</v>
      </c>
      <c r="J22" s="10">
        <v>60</v>
      </c>
      <c r="K22" s="10">
        <v>66</v>
      </c>
      <c r="L22" s="10">
        <v>56</v>
      </c>
      <c r="M22" s="10">
        <v>65</v>
      </c>
      <c r="N22" s="10">
        <v>10</v>
      </c>
      <c r="O22" s="10">
        <v>17</v>
      </c>
      <c r="P22" s="10">
        <v>8</v>
      </c>
      <c r="Q22" s="10">
        <v>7</v>
      </c>
      <c r="R22" s="10">
        <v>14</v>
      </c>
      <c r="S22" s="10">
        <v>14</v>
      </c>
      <c r="T22" s="10">
        <f t="shared" si="0"/>
        <v>564</v>
      </c>
      <c r="U22" s="10">
        <f t="shared" si="1"/>
        <v>77.793103448275858</v>
      </c>
      <c r="V22" s="10" t="str">
        <f t="shared" si="2"/>
        <v>A</v>
      </c>
      <c r="W22" s="10">
        <f>RANK(U22,U$5:U53)</f>
        <v>4</v>
      </c>
      <c r="X22" s="11"/>
    </row>
    <row r="23" spans="1:24">
      <c r="A23" s="7">
        <v>19</v>
      </c>
      <c r="B23" s="8">
        <v>219</v>
      </c>
      <c r="C23" s="10" t="s">
        <v>71</v>
      </c>
      <c r="D23" s="10" t="s">
        <v>72</v>
      </c>
      <c r="E23" s="10" t="s">
        <v>40</v>
      </c>
      <c r="F23" s="10" t="s">
        <v>96</v>
      </c>
      <c r="G23" s="10" t="s">
        <v>96</v>
      </c>
      <c r="H23" s="10" t="s">
        <v>96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>
        <v>0</v>
      </c>
      <c r="O23" s="10">
        <v>8</v>
      </c>
      <c r="P23" s="10">
        <v>8</v>
      </c>
      <c r="Q23" s="10">
        <v>5</v>
      </c>
      <c r="R23" s="10">
        <v>0</v>
      </c>
      <c r="S23" s="10">
        <v>6</v>
      </c>
      <c r="T23" s="10">
        <f t="shared" si="0"/>
        <v>27</v>
      </c>
      <c r="U23" s="10">
        <f t="shared" si="1"/>
        <v>3.7241379310344822</v>
      </c>
      <c r="V23" s="10" t="str">
        <f t="shared" si="2"/>
        <v>FAIL</v>
      </c>
      <c r="W23" s="10">
        <f>RANK(U23,U$5:U54)</f>
        <v>26</v>
      </c>
      <c r="X23" s="11"/>
    </row>
    <row r="24" spans="1:24">
      <c r="A24" s="7">
        <v>20</v>
      </c>
      <c r="B24" s="8">
        <v>220</v>
      </c>
      <c r="C24" s="10" t="s">
        <v>73</v>
      </c>
      <c r="D24" s="10" t="s">
        <v>61</v>
      </c>
      <c r="E24" s="10" t="s">
        <v>53</v>
      </c>
      <c r="F24" s="10" t="s">
        <v>96</v>
      </c>
      <c r="G24" s="10" t="s">
        <v>96</v>
      </c>
      <c r="H24" s="10" t="s">
        <v>96</v>
      </c>
      <c r="I24" s="10" t="s">
        <v>96</v>
      </c>
      <c r="J24" s="10" t="s">
        <v>97</v>
      </c>
      <c r="K24" s="10" t="s">
        <v>96</v>
      </c>
      <c r="L24" s="10" t="s">
        <v>96</v>
      </c>
      <c r="M24" s="10" t="s">
        <v>97</v>
      </c>
      <c r="N24" s="10">
        <v>0</v>
      </c>
      <c r="O24" s="10">
        <v>13</v>
      </c>
      <c r="P24" s="10">
        <v>6</v>
      </c>
      <c r="Q24" s="10">
        <v>5</v>
      </c>
      <c r="R24" s="10">
        <v>0</v>
      </c>
      <c r="S24" s="10">
        <v>8</v>
      </c>
      <c r="T24" s="10">
        <f t="shared" si="0"/>
        <v>32</v>
      </c>
      <c r="U24" s="10">
        <f t="shared" si="1"/>
        <v>4.4137931034482758</v>
      </c>
      <c r="V24" s="10" t="str">
        <f t="shared" si="2"/>
        <v>FAIL</v>
      </c>
      <c r="W24" s="10">
        <f>RANK(U24,U$5:U55)</f>
        <v>24</v>
      </c>
      <c r="X24" s="11"/>
    </row>
    <row r="25" spans="1:24">
      <c r="A25" s="7">
        <v>21</v>
      </c>
      <c r="B25" s="8">
        <v>221</v>
      </c>
      <c r="C25" s="10" t="s">
        <v>74</v>
      </c>
      <c r="D25" s="10" t="s">
        <v>75</v>
      </c>
      <c r="E25" s="10" t="s">
        <v>25</v>
      </c>
      <c r="F25" s="10">
        <v>43</v>
      </c>
      <c r="G25" s="10">
        <v>53</v>
      </c>
      <c r="H25" s="10">
        <v>52</v>
      </c>
      <c r="I25" s="10" t="s">
        <v>96</v>
      </c>
      <c r="J25" s="10">
        <v>49</v>
      </c>
      <c r="K25" s="10">
        <v>58</v>
      </c>
      <c r="L25" s="10">
        <v>40</v>
      </c>
      <c r="M25" s="10" t="s">
        <v>96</v>
      </c>
      <c r="N25" s="10">
        <v>14</v>
      </c>
      <c r="O25" s="10">
        <v>15</v>
      </c>
      <c r="P25" s="10">
        <v>6</v>
      </c>
      <c r="Q25" s="10">
        <v>5</v>
      </c>
      <c r="R25" s="10">
        <v>9</v>
      </c>
      <c r="S25" s="10">
        <v>12</v>
      </c>
      <c r="T25" s="10">
        <f t="shared" si="0"/>
        <v>356</v>
      </c>
      <c r="U25" s="10">
        <f t="shared" si="1"/>
        <v>49.103448275862071</v>
      </c>
      <c r="V25" s="10" t="str">
        <f t="shared" si="2"/>
        <v>D</v>
      </c>
      <c r="W25" s="10">
        <f>RANK(U25,U$5:U56)</f>
        <v>18</v>
      </c>
      <c r="X25" s="11"/>
    </row>
    <row r="26" spans="1:24">
      <c r="A26" s="7">
        <v>22</v>
      </c>
      <c r="B26" s="8">
        <v>251</v>
      </c>
      <c r="C26" s="10" t="s">
        <v>76</v>
      </c>
      <c r="D26" s="10" t="s">
        <v>58</v>
      </c>
      <c r="E26" s="10" t="s">
        <v>59</v>
      </c>
      <c r="F26" s="10">
        <v>74</v>
      </c>
      <c r="G26" s="10">
        <v>70</v>
      </c>
      <c r="H26" s="10">
        <v>74</v>
      </c>
      <c r="I26" s="10">
        <v>62</v>
      </c>
      <c r="J26" s="10">
        <v>73</v>
      </c>
      <c r="K26" s="10">
        <v>73</v>
      </c>
      <c r="L26" s="10">
        <v>70</v>
      </c>
      <c r="M26" s="10">
        <v>85</v>
      </c>
      <c r="N26" s="10">
        <v>18</v>
      </c>
      <c r="O26" s="10">
        <v>17</v>
      </c>
      <c r="P26" s="10">
        <v>9</v>
      </c>
      <c r="Q26" s="10">
        <v>8</v>
      </c>
      <c r="R26" s="10">
        <v>18</v>
      </c>
      <c r="S26" s="10">
        <v>17</v>
      </c>
      <c r="T26" s="10">
        <f t="shared" si="0"/>
        <v>668</v>
      </c>
      <c r="U26" s="10">
        <f t="shared" si="1"/>
        <v>92.137931034482762</v>
      </c>
      <c r="V26" s="10" t="str">
        <f t="shared" si="2"/>
        <v>A1</v>
      </c>
      <c r="W26" s="10">
        <f>RANK(U26,U$5:U57)</f>
        <v>2</v>
      </c>
      <c r="X26" s="11"/>
    </row>
    <row r="27" spans="1:24">
      <c r="A27" s="7">
        <v>23</v>
      </c>
      <c r="B27" s="8">
        <v>252</v>
      </c>
      <c r="C27" s="10" t="s">
        <v>77</v>
      </c>
      <c r="D27" s="10" t="s">
        <v>78</v>
      </c>
      <c r="E27" s="10" t="s">
        <v>25</v>
      </c>
      <c r="F27" s="10">
        <v>73</v>
      </c>
      <c r="G27" s="10">
        <v>72</v>
      </c>
      <c r="H27" s="10">
        <v>73</v>
      </c>
      <c r="I27" s="10">
        <v>74</v>
      </c>
      <c r="J27" s="10">
        <v>72</v>
      </c>
      <c r="K27" s="10">
        <v>74</v>
      </c>
      <c r="L27" s="10">
        <v>71</v>
      </c>
      <c r="M27" s="10">
        <v>85</v>
      </c>
      <c r="N27" s="10">
        <v>12</v>
      </c>
      <c r="O27" s="10">
        <v>17</v>
      </c>
      <c r="P27" s="10">
        <v>9</v>
      </c>
      <c r="Q27" s="10">
        <v>9</v>
      </c>
      <c r="R27" s="10">
        <v>18</v>
      </c>
      <c r="S27" s="10">
        <v>16</v>
      </c>
      <c r="T27" s="10">
        <f t="shared" si="0"/>
        <v>675</v>
      </c>
      <c r="U27" s="10">
        <f t="shared" si="1"/>
        <v>93.103448275862064</v>
      </c>
      <c r="V27" s="10" t="str">
        <f t="shared" si="2"/>
        <v>A1</v>
      </c>
      <c r="W27" s="10">
        <f>RANK(U27,U$5:U58)</f>
        <v>1</v>
      </c>
      <c r="X27" s="11"/>
    </row>
    <row r="28" spans="1:24">
      <c r="A28" s="7">
        <v>24</v>
      </c>
      <c r="B28" s="8">
        <v>253</v>
      </c>
      <c r="C28" s="10" t="s">
        <v>79</v>
      </c>
      <c r="D28" s="10" t="s">
        <v>80</v>
      </c>
      <c r="E28" s="10" t="s">
        <v>25</v>
      </c>
      <c r="F28" s="10">
        <v>40</v>
      </c>
      <c r="G28" s="10">
        <v>50</v>
      </c>
      <c r="H28" s="10">
        <v>40</v>
      </c>
      <c r="I28" s="10">
        <v>34</v>
      </c>
      <c r="J28" s="10">
        <v>45</v>
      </c>
      <c r="K28" s="10">
        <v>48</v>
      </c>
      <c r="L28" s="10">
        <v>42</v>
      </c>
      <c r="M28" s="10">
        <v>52</v>
      </c>
      <c r="N28" s="10">
        <v>0</v>
      </c>
      <c r="O28" s="10">
        <v>13</v>
      </c>
      <c r="P28" s="10">
        <v>6</v>
      </c>
      <c r="Q28" s="10">
        <v>5</v>
      </c>
      <c r="R28" s="10">
        <v>16</v>
      </c>
      <c r="S28" s="10">
        <v>14</v>
      </c>
      <c r="T28" s="10">
        <f t="shared" si="0"/>
        <v>405</v>
      </c>
      <c r="U28" s="10">
        <f t="shared" si="1"/>
        <v>55.862068965517238</v>
      </c>
      <c r="V28" s="10" t="str">
        <f t="shared" si="2"/>
        <v>C</v>
      </c>
      <c r="W28" s="10">
        <f>RANK(U28,U$5:U59)</f>
        <v>14</v>
      </c>
      <c r="X28" s="11"/>
    </row>
    <row r="29" spans="1:24">
      <c r="A29" s="7">
        <v>25</v>
      </c>
      <c r="B29" s="8">
        <v>254</v>
      </c>
      <c r="C29" s="10" t="s">
        <v>81</v>
      </c>
      <c r="D29" s="10" t="s">
        <v>82</v>
      </c>
      <c r="E29" s="10" t="s">
        <v>25</v>
      </c>
      <c r="F29" s="10" t="s">
        <v>96</v>
      </c>
      <c r="G29" s="10" t="s">
        <v>96</v>
      </c>
      <c r="H29" s="10" t="s">
        <v>96</v>
      </c>
      <c r="I29" s="10" t="s">
        <v>96</v>
      </c>
      <c r="J29" s="10" t="s">
        <v>96</v>
      </c>
      <c r="K29" s="10" t="s">
        <v>96</v>
      </c>
      <c r="L29" s="10" t="s">
        <v>96</v>
      </c>
      <c r="M29" s="10" t="s">
        <v>98</v>
      </c>
      <c r="N29" s="10">
        <v>0</v>
      </c>
      <c r="O29" s="10">
        <v>10</v>
      </c>
      <c r="P29" s="10">
        <v>5</v>
      </c>
      <c r="Q29" s="10">
        <v>5</v>
      </c>
      <c r="R29" s="10">
        <v>0</v>
      </c>
      <c r="S29" s="10">
        <v>8</v>
      </c>
      <c r="T29" s="10">
        <f t="shared" si="0"/>
        <v>28</v>
      </c>
      <c r="U29" s="10">
        <f t="shared" si="1"/>
        <v>3.8620689655172415</v>
      </c>
      <c r="V29" s="10" t="str">
        <f t="shared" si="2"/>
        <v>FAIL</v>
      </c>
      <c r="W29" s="10">
        <f>RANK(U29,U$5:U60)</f>
        <v>25</v>
      </c>
      <c r="X29" s="11"/>
    </row>
    <row r="30" spans="1:24">
      <c r="A30" s="7">
        <v>26</v>
      </c>
      <c r="B30" s="8">
        <v>255</v>
      </c>
      <c r="C30" s="10" t="s">
        <v>83</v>
      </c>
      <c r="D30" s="10" t="s">
        <v>29</v>
      </c>
      <c r="E30" s="10" t="s">
        <v>25</v>
      </c>
      <c r="F30" s="10">
        <v>58</v>
      </c>
      <c r="G30" s="10">
        <v>60</v>
      </c>
      <c r="H30" s="10">
        <v>62</v>
      </c>
      <c r="I30" s="10" t="s">
        <v>96</v>
      </c>
      <c r="J30" s="10">
        <v>60</v>
      </c>
      <c r="K30" s="10">
        <v>66</v>
      </c>
      <c r="L30" s="10">
        <v>64</v>
      </c>
      <c r="M30" s="10">
        <v>48</v>
      </c>
      <c r="N30" s="10">
        <v>0</v>
      </c>
      <c r="O30" s="10">
        <v>13</v>
      </c>
      <c r="P30" s="10">
        <v>7</v>
      </c>
      <c r="Q30" s="10">
        <v>7</v>
      </c>
      <c r="R30" s="10">
        <v>16</v>
      </c>
      <c r="S30" s="10">
        <v>15</v>
      </c>
      <c r="T30" s="10">
        <f t="shared" si="0"/>
        <v>476</v>
      </c>
      <c r="U30" s="10">
        <f t="shared" si="1"/>
        <v>65.65517241379311</v>
      </c>
      <c r="V30" s="10" t="str">
        <f t="shared" si="2"/>
        <v>B</v>
      </c>
      <c r="W30" s="10">
        <f>RANK(U30,U$5:U61)</f>
        <v>11</v>
      </c>
      <c r="X30" s="11"/>
    </row>
    <row r="31" spans="1:24">
      <c r="A31" s="7">
        <v>27</v>
      </c>
      <c r="B31" s="8">
        <v>256</v>
      </c>
      <c r="C31" s="10" t="s">
        <v>84</v>
      </c>
      <c r="D31" s="10" t="s">
        <v>85</v>
      </c>
      <c r="E31" s="10" t="s">
        <v>30</v>
      </c>
      <c r="F31" s="10" t="s">
        <v>96</v>
      </c>
      <c r="G31" s="10" t="s">
        <v>96</v>
      </c>
      <c r="H31" s="10" t="s">
        <v>96</v>
      </c>
      <c r="I31" s="10" t="s">
        <v>96</v>
      </c>
      <c r="J31" s="10" t="s">
        <v>96</v>
      </c>
      <c r="K31" s="10" t="s">
        <v>96</v>
      </c>
      <c r="L31" s="10" t="s">
        <v>96</v>
      </c>
      <c r="M31" s="10" t="s">
        <v>96</v>
      </c>
      <c r="N31" s="10">
        <v>0</v>
      </c>
      <c r="O31" s="10"/>
      <c r="P31" s="10">
        <v>5</v>
      </c>
      <c r="Q31" s="10">
        <v>5</v>
      </c>
      <c r="R31" s="10">
        <v>0</v>
      </c>
      <c r="S31" s="10">
        <v>6</v>
      </c>
      <c r="T31" s="10">
        <f t="shared" si="0"/>
        <v>16</v>
      </c>
      <c r="U31" s="10">
        <f t="shared" si="1"/>
        <v>2.2068965517241379</v>
      </c>
      <c r="V31" s="10" t="str">
        <f t="shared" si="2"/>
        <v>FAIL</v>
      </c>
      <c r="W31" s="10">
        <f>RANK(U31,U$5:U62)</f>
        <v>27</v>
      </c>
      <c r="X31" s="11"/>
    </row>
    <row r="32" spans="1:24">
      <c r="A32" s="7">
        <v>28</v>
      </c>
      <c r="B32" s="8">
        <v>257</v>
      </c>
      <c r="C32" s="10" t="s">
        <v>86</v>
      </c>
      <c r="D32" s="10" t="s">
        <v>87</v>
      </c>
      <c r="E32" s="10" t="s">
        <v>30</v>
      </c>
      <c r="F32" s="10" t="s">
        <v>96</v>
      </c>
      <c r="G32" s="10" t="s">
        <v>96</v>
      </c>
      <c r="H32" s="10" t="s">
        <v>96</v>
      </c>
      <c r="I32" s="10" t="s">
        <v>96</v>
      </c>
      <c r="J32" s="10" t="s">
        <v>96</v>
      </c>
      <c r="K32" s="10" t="s">
        <v>96</v>
      </c>
      <c r="L32" s="10" t="s">
        <v>96</v>
      </c>
      <c r="M32" s="10" t="s">
        <v>96</v>
      </c>
      <c r="N32" s="10">
        <v>0</v>
      </c>
      <c r="O32" s="10">
        <v>0</v>
      </c>
      <c r="P32" s="10">
        <v>4</v>
      </c>
      <c r="Q32" s="10">
        <v>4</v>
      </c>
      <c r="R32" s="10">
        <v>0</v>
      </c>
      <c r="S32" s="10">
        <v>2</v>
      </c>
      <c r="T32" s="10">
        <f t="shared" si="0"/>
        <v>10</v>
      </c>
      <c r="U32" s="10">
        <f t="shared" si="1"/>
        <v>1.3793103448275863</v>
      </c>
      <c r="V32" s="10" t="str">
        <f t="shared" si="2"/>
        <v>FAIL</v>
      </c>
      <c r="W32" s="10">
        <f>RANK(U32,U$5:U63)</f>
        <v>28</v>
      </c>
      <c r="X32" s="11"/>
    </row>
    <row r="33" spans="1:24">
      <c r="A33" s="7">
        <v>29</v>
      </c>
      <c r="B33" s="8">
        <v>258</v>
      </c>
      <c r="C33" s="10" t="s">
        <v>88</v>
      </c>
      <c r="D33" s="10" t="s">
        <v>89</v>
      </c>
      <c r="E33" s="10" t="s">
        <v>30</v>
      </c>
      <c r="F33" s="10" t="s">
        <v>96</v>
      </c>
      <c r="G33" s="10" t="s">
        <v>96</v>
      </c>
      <c r="H33" s="10" t="s">
        <v>96</v>
      </c>
      <c r="I33" s="10" t="s">
        <v>96</v>
      </c>
      <c r="J33" s="10" t="s">
        <v>96</v>
      </c>
      <c r="K33" s="10" t="s">
        <v>96</v>
      </c>
      <c r="L33" s="10" t="s">
        <v>96</v>
      </c>
      <c r="M33" s="10" t="s">
        <v>96</v>
      </c>
      <c r="N33" s="10">
        <v>0</v>
      </c>
      <c r="O33" s="10">
        <v>0</v>
      </c>
      <c r="P33" s="10">
        <v>3</v>
      </c>
      <c r="Q33" s="10">
        <v>3</v>
      </c>
      <c r="R33" s="10">
        <v>0</v>
      </c>
      <c r="S33" s="10">
        <v>2</v>
      </c>
      <c r="T33" s="10">
        <f t="shared" si="0"/>
        <v>8</v>
      </c>
      <c r="U33" s="10">
        <f t="shared" si="1"/>
        <v>1.103448275862069</v>
      </c>
      <c r="V33" s="10" t="str">
        <f t="shared" si="2"/>
        <v>FAIL</v>
      </c>
      <c r="W33" s="10">
        <f>RANK(U33,U$5:U64)</f>
        <v>29</v>
      </c>
      <c r="X33" s="11"/>
    </row>
    <row r="34" spans="1:24">
      <c r="A34" s="7">
        <v>30</v>
      </c>
      <c r="B34" s="8">
        <v>259</v>
      </c>
      <c r="C34" s="10" t="s">
        <v>90</v>
      </c>
      <c r="D34" s="10" t="s">
        <v>91</v>
      </c>
      <c r="E34" s="10" t="s">
        <v>25</v>
      </c>
      <c r="F34" s="10">
        <v>53</v>
      </c>
      <c r="G34" s="10">
        <v>55</v>
      </c>
      <c r="H34" s="10">
        <v>59</v>
      </c>
      <c r="I34" s="10">
        <v>64</v>
      </c>
      <c r="J34" s="10">
        <v>63</v>
      </c>
      <c r="K34" s="10">
        <v>60</v>
      </c>
      <c r="L34" s="10">
        <v>60</v>
      </c>
      <c r="M34" s="10">
        <v>43</v>
      </c>
      <c r="N34" s="10">
        <v>15</v>
      </c>
      <c r="O34" s="10">
        <v>15</v>
      </c>
      <c r="P34" s="10">
        <v>6</v>
      </c>
      <c r="Q34" s="10">
        <v>6</v>
      </c>
      <c r="R34" s="10">
        <v>18</v>
      </c>
      <c r="S34" s="10">
        <v>14</v>
      </c>
      <c r="T34" s="10">
        <f t="shared" si="0"/>
        <v>531</v>
      </c>
      <c r="U34" s="10">
        <f t="shared" si="1"/>
        <v>73.241379310344826</v>
      </c>
      <c r="V34" s="10" t="str">
        <f t="shared" si="2"/>
        <v>A</v>
      </c>
      <c r="W34" s="10">
        <f>RANK(U34,U$5:U65)</f>
        <v>7</v>
      </c>
      <c r="X34" s="11"/>
    </row>
    <row r="35" spans="1:24">
      <c r="A35" s="7">
        <v>31</v>
      </c>
      <c r="B35" s="8">
        <v>260</v>
      </c>
      <c r="C35" s="10" t="s">
        <v>92</v>
      </c>
      <c r="D35" s="10" t="s">
        <v>39</v>
      </c>
      <c r="E35" s="10" t="s">
        <v>25</v>
      </c>
      <c r="F35" s="10">
        <v>55</v>
      </c>
      <c r="G35" s="10">
        <v>58</v>
      </c>
      <c r="H35" s="10">
        <v>60</v>
      </c>
      <c r="I35" s="10">
        <v>60</v>
      </c>
      <c r="J35" s="10">
        <v>65</v>
      </c>
      <c r="K35" s="10">
        <v>50</v>
      </c>
      <c r="L35" s="10">
        <v>57</v>
      </c>
      <c r="M35" s="10">
        <v>49</v>
      </c>
      <c r="N35" s="10">
        <v>15</v>
      </c>
      <c r="O35" s="10">
        <v>15</v>
      </c>
      <c r="P35" s="10">
        <v>7</v>
      </c>
      <c r="Q35" s="10">
        <v>7</v>
      </c>
      <c r="R35" s="10">
        <v>16</v>
      </c>
      <c r="S35" s="10">
        <v>14</v>
      </c>
      <c r="T35" s="10">
        <f t="shared" si="0"/>
        <v>528</v>
      </c>
      <c r="U35" s="10">
        <f t="shared" si="1"/>
        <v>72.827586206896555</v>
      </c>
      <c r="V35" s="10" t="str">
        <f t="shared" si="2"/>
        <v>A</v>
      </c>
      <c r="W35" s="10">
        <f>RANK(U35,U$5:U66)</f>
        <v>8</v>
      </c>
      <c r="X35" s="11"/>
    </row>
    <row r="36" spans="1:24">
      <c r="A36" s="7">
        <v>32</v>
      </c>
      <c r="B36" s="8">
        <v>261</v>
      </c>
      <c r="C36" s="10" t="s">
        <v>93</v>
      </c>
      <c r="D36" s="10" t="s">
        <v>94</v>
      </c>
      <c r="E36" s="10" t="s">
        <v>24</v>
      </c>
      <c r="F36" s="10" t="s">
        <v>96</v>
      </c>
      <c r="G36" s="10" t="s">
        <v>96</v>
      </c>
      <c r="H36" s="10" t="s">
        <v>96</v>
      </c>
      <c r="I36" s="10" t="s">
        <v>96</v>
      </c>
      <c r="J36" s="10" t="s">
        <v>96</v>
      </c>
      <c r="K36" s="10" t="s">
        <v>96</v>
      </c>
      <c r="L36" s="10" t="s">
        <v>96</v>
      </c>
      <c r="M36" s="10" t="s">
        <v>98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f t="shared" si="0"/>
        <v>0</v>
      </c>
      <c r="U36" s="10">
        <f t="shared" si="1"/>
        <v>0</v>
      </c>
      <c r="V36" s="10" t="str">
        <f t="shared" si="2"/>
        <v>FAIL</v>
      </c>
      <c r="W36" s="10">
        <f>RANK(U36,U$5:U67)</f>
        <v>30</v>
      </c>
      <c r="X36" s="11"/>
    </row>
  </sheetData>
  <mergeCells count="4">
    <mergeCell ref="A1:X1"/>
    <mergeCell ref="A2:X2"/>
    <mergeCell ref="C3:D3"/>
    <mergeCell ref="E3:H3"/>
  </mergeCells>
  <pageMargins left="0.25" right="0.25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8"/>
  <sheetViews>
    <sheetView zoomScaleNormal="100" workbookViewId="0">
      <selection activeCell="M3" sqref="M3:S18"/>
    </sheetView>
  </sheetViews>
  <sheetFormatPr defaultColWidth="10" defaultRowHeight="15"/>
  <cols>
    <col min="1" max="1" width="5.28515625" customWidth="1"/>
    <col min="2" max="2" width="5.5703125" customWidth="1"/>
    <col min="3" max="3" width="14.42578125" customWidth="1"/>
    <col min="4" max="4" width="18.85546875" customWidth="1"/>
    <col min="5" max="5" width="7.42578125" customWidth="1"/>
    <col min="6" max="23" width="4.7109375" customWidth="1"/>
  </cols>
  <sheetData>
    <row r="2" spans="1:23" ht="100.5" customHeight="1">
      <c r="A2" s="12" t="s">
        <v>16</v>
      </c>
      <c r="B2" s="13" t="s">
        <v>17</v>
      </c>
      <c r="C2" s="14" t="s">
        <v>18</v>
      </c>
      <c r="D2" s="14" t="s">
        <v>19</v>
      </c>
      <c r="E2" s="14" t="s">
        <v>20</v>
      </c>
      <c r="F2" s="15" t="s">
        <v>0</v>
      </c>
      <c r="G2" s="15" t="s">
        <v>1</v>
      </c>
      <c r="H2" s="15" t="s">
        <v>2</v>
      </c>
      <c r="I2" s="15" t="s">
        <v>3</v>
      </c>
      <c r="J2" s="15" t="s">
        <v>4</v>
      </c>
      <c r="K2" s="15" t="s">
        <v>5</v>
      </c>
      <c r="L2" s="15" t="s">
        <v>6</v>
      </c>
      <c r="M2" s="15" t="s">
        <v>7</v>
      </c>
      <c r="N2" s="15" t="s">
        <v>8</v>
      </c>
      <c r="O2" s="15" t="s">
        <v>9</v>
      </c>
      <c r="P2" s="15" t="s">
        <v>10</v>
      </c>
      <c r="Q2" s="15" t="s">
        <v>11</v>
      </c>
      <c r="R2" s="15" t="s">
        <v>12</v>
      </c>
      <c r="S2" s="15" t="s">
        <v>13</v>
      </c>
      <c r="T2" s="15" t="s">
        <v>14</v>
      </c>
      <c r="U2" s="15" t="s">
        <v>22</v>
      </c>
      <c r="V2" s="15" t="s">
        <v>23</v>
      </c>
      <c r="W2" s="15" t="s">
        <v>15</v>
      </c>
    </row>
    <row r="3" spans="1:23" ht="23.1" customHeight="1">
      <c r="A3" s="7">
        <v>17</v>
      </c>
      <c r="B3" s="8">
        <v>217</v>
      </c>
      <c r="C3" s="9" t="s">
        <v>67</v>
      </c>
      <c r="D3" s="9" t="s">
        <v>68</v>
      </c>
      <c r="E3" s="10" t="s">
        <v>59</v>
      </c>
      <c r="F3" s="10">
        <v>45</v>
      </c>
      <c r="G3" s="10">
        <v>48</v>
      </c>
      <c r="H3" s="10">
        <v>50</v>
      </c>
      <c r="I3" s="10">
        <v>38</v>
      </c>
      <c r="J3" s="10">
        <v>46</v>
      </c>
      <c r="K3" s="10">
        <v>40</v>
      </c>
      <c r="L3" s="10">
        <v>48</v>
      </c>
      <c r="M3" s="10" t="s">
        <v>96</v>
      </c>
      <c r="N3" s="10">
        <v>14</v>
      </c>
      <c r="O3" s="10">
        <v>15</v>
      </c>
      <c r="P3" s="10">
        <v>6</v>
      </c>
      <c r="Q3" s="10">
        <v>5</v>
      </c>
      <c r="R3" s="10">
        <v>9</v>
      </c>
      <c r="S3" s="10">
        <v>11</v>
      </c>
      <c r="T3" s="10">
        <v>375</v>
      </c>
      <c r="U3" s="10"/>
      <c r="V3" s="10"/>
      <c r="W3" s="10"/>
    </row>
    <row r="4" spans="1:23" ht="23.1" customHeight="1">
      <c r="A4" s="7">
        <v>18</v>
      </c>
      <c r="B4" s="8">
        <v>218</v>
      </c>
      <c r="C4" s="9" t="s">
        <v>69</v>
      </c>
      <c r="D4" s="9" t="s">
        <v>70</v>
      </c>
      <c r="E4" s="10" t="s">
        <v>40</v>
      </c>
      <c r="F4" s="10">
        <v>62</v>
      </c>
      <c r="G4" s="10">
        <v>60</v>
      </c>
      <c r="H4" s="10">
        <v>62</v>
      </c>
      <c r="I4" s="10">
        <v>56</v>
      </c>
      <c r="J4" s="10">
        <v>63</v>
      </c>
      <c r="K4" s="10">
        <v>60</v>
      </c>
      <c r="L4" s="10">
        <v>66</v>
      </c>
      <c r="M4" s="10">
        <v>65</v>
      </c>
      <c r="N4" s="10">
        <v>10</v>
      </c>
      <c r="O4" s="10">
        <v>17</v>
      </c>
      <c r="P4" s="10">
        <v>8</v>
      </c>
      <c r="Q4" s="10">
        <v>7</v>
      </c>
      <c r="R4" s="10">
        <v>14</v>
      </c>
      <c r="S4" s="10">
        <v>14</v>
      </c>
      <c r="T4" s="10">
        <v>570</v>
      </c>
      <c r="U4" s="10"/>
      <c r="V4" s="10"/>
      <c r="W4" s="10"/>
    </row>
    <row r="5" spans="1:23" ht="23.1" customHeight="1">
      <c r="A5" s="7">
        <v>19</v>
      </c>
      <c r="B5" s="8">
        <v>219</v>
      </c>
      <c r="C5" s="10" t="s">
        <v>71</v>
      </c>
      <c r="D5" s="10" t="s">
        <v>72</v>
      </c>
      <c r="E5" s="10" t="s">
        <v>40</v>
      </c>
      <c r="F5" s="10" t="s">
        <v>96</v>
      </c>
      <c r="G5" s="10" t="s">
        <v>96</v>
      </c>
      <c r="H5" s="10" t="s">
        <v>96</v>
      </c>
      <c r="I5" s="10" t="s">
        <v>96</v>
      </c>
      <c r="J5" s="10" t="s">
        <v>96</v>
      </c>
      <c r="K5" s="10" t="s">
        <v>96</v>
      </c>
      <c r="L5" s="10" t="s">
        <v>96</v>
      </c>
      <c r="M5" s="10" t="s">
        <v>96</v>
      </c>
      <c r="N5" s="10">
        <v>0</v>
      </c>
      <c r="O5" s="10">
        <v>8</v>
      </c>
      <c r="P5" s="10">
        <v>8</v>
      </c>
      <c r="Q5" s="10">
        <v>5</v>
      </c>
      <c r="R5" s="10">
        <v>0</v>
      </c>
      <c r="S5" s="10">
        <v>6</v>
      </c>
      <c r="T5" s="10">
        <v>27</v>
      </c>
      <c r="U5" s="10"/>
      <c r="V5" s="10"/>
      <c r="W5" s="10"/>
    </row>
    <row r="6" spans="1:23" ht="23.1" customHeight="1">
      <c r="A6" s="7">
        <v>20</v>
      </c>
      <c r="B6" s="8">
        <v>220</v>
      </c>
      <c r="C6" s="10" t="s">
        <v>73</v>
      </c>
      <c r="D6" s="10" t="s">
        <v>61</v>
      </c>
      <c r="E6" s="10" t="s">
        <v>53</v>
      </c>
      <c r="F6" s="10" t="s">
        <v>96</v>
      </c>
      <c r="G6" s="10" t="s">
        <v>97</v>
      </c>
      <c r="H6" s="10" t="s">
        <v>96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97</v>
      </c>
      <c r="N6" s="10">
        <v>0</v>
      </c>
      <c r="O6" s="10">
        <v>13</v>
      </c>
      <c r="P6" s="10">
        <v>6</v>
      </c>
      <c r="Q6" s="10">
        <v>5</v>
      </c>
      <c r="R6" s="10">
        <v>0</v>
      </c>
      <c r="S6" s="10">
        <v>8</v>
      </c>
      <c r="T6" s="10">
        <v>32</v>
      </c>
      <c r="U6" s="10"/>
      <c r="V6" s="10"/>
      <c r="W6" s="10"/>
    </row>
    <row r="7" spans="1:23" ht="23.1" customHeight="1">
      <c r="A7" s="7">
        <v>21</v>
      </c>
      <c r="B7" s="8">
        <v>221</v>
      </c>
      <c r="C7" s="9" t="s">
        <v>74</v>
      </c>
      <c r="D7" s="9" t="s">
        <v>75</v>
      </c>
      <c r="E7" s="10" t="s">
        <v>25</v>
      </c>
      <c r="F7" s="10">
        <v>43</v>
      </c>
      <c r="G7" s="10">
        <v>49</v>
      </c>
      <c r="H7" s="10">
        <v>52</v>
      </c>
      <c r="I7" s="10">
        <v>40</v>
      </c>
      <c r="J7" s="10" t="s">
        <v>96</v>
      </c>
      <c r="K7" s="10">
        <v>53</v>
      </c>
      <c r="L7" s="10">
        <v>58</v>
      </c>
      <c r="M7" s="10" t="s">
        <v>96</v>
      </c>
      <c r="N7" s="10">
        <v>14</v>
      </c>
      <c r="O7" s="10">
        <v>15</v>
      </c>
      <c r="P7" s="10">
        <v>6</v>
      </c>
      <c r="Q7" s="10">
        <v>5</v>
      </c>
      <c r="R7" s="10">
        <v>9</v>
      </c>
      <c r="S7" s="10">
        <v>12</v>
      </c>
      <c r="T7" s="10">
        <v>298</v>
      </c>
      <c r="U7" s="10"/>
      <c r="V7" s="10"/>
      <c r="W7" s="10"/>
    </row>
    <row r="8" spans="1:23" ht="23.1" customHeight="1">
      <c r="A8" s="7">
        <v>22</v>
      </c>
      <c r="B8" s="8">
        <v>251</v>
      </c>
      <c r="C8" s="10" t="s">
        <v>76</v>
      </c>
      <c r="D8" s="9" t="s">
        <v>58</v>
      </c>
      <c r="E8" s="10" t="s">
        <v>59</v>
      </c>
      <c r="F8" s="10">
        <v>74</v>
      </c>
      <c r="G8" s="10">
        <v>73</v>
      </c>
      <c r="H8" s="10">
        <v>74</v>
      </c>
      <c r="I8" s="10">
        <v>70</v>
      </c>
      <c r="J8" s="10">
        <v>62</v>
      </c>
      <c r="K8" s="10">
        <v>70</v>
      </c>
      <c r="L8" s="10">
        <v>73</v>
      </c>
      <c r="M8" s="10">
        <v>85</v>
      </c>
      <c r="N8" s="10">
        <v>18</v>
      </c>
      <c r="O8" s="10">
        <v>17</v>
      </c>
      <c r="P8" s="10">
        <v>9</v>
      </c>
      <c r="Q8" s="10">
        <v>8</v>
      </c>
      <c r="R8" s="10">
        <v>18</v>
      </c>
      <c r="S8" s="10">
        <v>17</v>
      </c>
      <c r="T8" s="10">
        <v>689</v>
      </c>
      <c r="U8" s="10"/>
      <c r="V8" s="10"/>
      <c r="W8" s="10"/>
    </row>
    <row r="9" spans="1:23" ht="23.1" customHeight="1">
      <c r="A9" s="7">
        <v>23</v>
      </c>
      <c r="B9" s="8">
        <v>252</v>
      </c>
      <c r="C9" s="9" t="s">
        <v>77</v>
      </c>
      <c r="D9" s="9" t="s">
        <v>78</v>
      </c>
      <c r="E9" s="10" t="s">
        <v>25</v>
      </c>
      <c r="F9" s="10">
        <v>73</v>
      </c>
      <c r="G9" s="10">
        <v>72</v>
      </c>
      <c r="H9" s="10">
        <v>73</v>
      </c>
      <c r="I9" s="10">
        <v>71</v>
      </c>
      <c r="J9" s="10">
        <v>74</v>
      </c>
      <c r="K9" s="10">
        <v>72</v>
      </c>
      <c r="L9" s="10">
        <v>74</v>
      </c>
      <c r="M9" s="10">
        <v>85</v>
      </c>
      <c r="N9" s="10">
        <v>12</v>
      </c>
      <c r="O9" s="10">
        <v>17</v>
      </c>
      <c r="P9" s="10">
        <v>9</v>
      </c>
      <c r="Q9" s="10">
        <v>9</v>
      </c>
      <c r="R9" s="10">
        <v>18</v>
      </c>
      <c r="S9" s="10">
        <v>16</v>
      </c>
      <c r="T9" s="10">
        <v>753</v>
      </c>
      <c r="U9" s="10"/>
      <c r="V9" s="10"/>
      <c r="W9" s="10"/>
    </row>
    <row r="10" spans="1:23" ht="23.1" customHeight="1">
      <c r="A10" s="7">
        <v>24</v>
      </c>
      <c r="B10" s="8">
        <v>253</v>
      </c>
      <c r="C10" s="9" t="s">
        <v>79</v>
      </c>
      <c r="D10" s="9" t="s">
        <v>80</v>
      </c>
      <c r="E10" s="10" t="s">
        <v>25</v>
      </c>
      <c r="F10" s="10">
        <v>40</v>
      </c>
      <c r="G10" s="10">
        <v>45</v>
      </c>
      <c r="H10" s="10">
        <v>40</v>
      </c>
      <c r="I10" s="10">
        <v>42</v>
      </c>
      <c r="J10" s="10">
        <v>34</v>
      </c>
      <c r="K10" s="10">
        <v>50</v>
      </c>
      <c r="L10" s="10">
        <v>48</v>
      </c>
      <c r="M10" s="10">
        <v>52</v>
      </c>
      <c r="N10" s="10">
        <v>0</v>
      </c>
      <c r="O10" s="10">
        <v>13</v>
      </c>
      <c r="P10" s="10">
        <v>6</v>
      </c>
      <c r="Q10" s="10">
        <v>5</v>
      </c>
      <c r="R10" s="10">
        <v>16</v>
      </c>
      <c r="S10" s="10">
        <v>14</v>
      </c>
      <c r="T10" s="10">
        <v>417</v>
      </c>
      <c r="U10" s="10"/>
      <c r="V10" s="10"/>
      <c r="W10" s="10"/>
    </row>
    <row r="11" spans="1:23" ht="23.1" customHeight="1">
      <c r="A11" s="7">
        <v>25</v>
      </c>
      <c r="B11" s="8">
        <v>254</v>
      </c>
      <c r="C11" s="9" t="s">
        <v>81</v>
      </c>
      <c r="D11" s="9" t="s">
        <v>82</v>
      </c>
      <c r="E11" s="10" t="s">
        <v>25</v>
      </c>
      <c r="F11" s="10" t="s">
        <v>96</v>
      </c>
      <c r="G11" s="10" t="s">
        <v>96</v>
      </c>
      <c r="H11" s="10" t="s">
        <v>96</v>
      </c>
      <c r="I11" s="10" t="s">
        <v>96</v>
      </c>
      <c r="J11" s="10" t="s">
        <v>96</v>
      </c>
      <c r="K11" s="10" t="s">
        <v>96</v>
      </c>
      <c r="L11" s="10" t="s">
        <v>96</v>
      </c>
      <c r="M11" s="10" t="s">
        <v>98</v>
      </c>
      <c r="N11" s="10">
        <v>0</v>
      </c>
      <c r="O11" s="10">
        <v>10</v>
      </c>
      <c r="P11" s="10">
        <v>5</v>
      </c>
      <c r="Q11" s="10">
        <v>5</v>
      </c>
      <c r="R11" s="10">
        <v>0</v>
      </c>
      <c r="S11" s="10">
        <v>8</v>
      </c>
      <c r="T11" s="10">
        <v>34</v>
      </c>
      <c r="U11" s="10"/>
      <c r="V11" s="10"/>
      <c r="W11" s="10"/>
    </row>
    <row r="12" spans="1:23" ht="23.1" customHeight="1">
      <c r="A12" s="7">
        <v>26</v>
      </c>
      <c r="B12" s="8">
        <v>255</v>
      </c>
      <c r="C12" s="9" t="s">
        <v>83</v>
      </c>
      <c r="D12" s="9" t="s">
        <v>29</v>
      </c>
      <c r="E12" s="10" t="s">
        <v>25</v>
      </c>
      <c r="F12" s="10">
        <v>58</v>
      </c>
      <c r="G12" s="10">
        <v>60</v>
      </c>
      <c r="H12" s="10">
        <v>62</v>
      </c>
      <c r="I12" s="10">
        <v>64</v>
      </c>
      <c r="J12" s="10" t="s">
        <v>96</v>
      </c>
      <c r="K12" s="10">
        <v>60</v>
      </c>
      <c r="L12" s="10">
        <v>66</v>
      </c>
      <c r="M12" s="10">
        <v>48</v>
      </c>
      <c r="N12" s="10">
        <v>0</v>
      </c>
      <c r="O12" s="10">
        <v>13</v>
      </c>
      <c r="P12" s="10">
        <v>7</v>
      </c>
      <c r="Q12" s="10">
        <v>7</v>
      </c>
      <c r="R12" s="10">
        <v>16</v>
      </c>
      <c r="S12" s="10">
        <v>15</v>
      </c>
      <c r="T12" s="10">
        <v>483</v>
      </c>
      <c r="U12" s="10"/>
      <c r="V12" s="10"/>
      <c r="W12" s="10"/>
    </row>
    <row r="13" spans="1:23" ht="23.1" customHeight="1">
      <c r="A13" s="7">
        <v>27</v>
      </c>
      <c r="B13" s="8">
        <v>256</v>
      </c>
      <c r="C13" s="9" t="s">
        <v>84</v>
      </c>
      <c r="D13" s="9" t="s">
        <v>85</v>
      </c>
      <c r="E13" s="10" t="s">
        <v>30</v>
      </c>
      <c r="F13" s="10" t="s">
        <v>96</v>
      </c>
      <c r="G13" s="10" t="s">
        <v>96</v>
      </c>
      <c r="H13" s="10" t="s">
        <v>96</v>
      </c>
      <c r="I13" s="10" t="s">
        <v>96</v>
      </c>
      <c r="J13" s="10" t="s">
        <v>96</v>
      </c>
      <c r="K13" s="10" t="s">
        <v>96</v>
      </c>
      <c r="L13" s="10" t="s">
        <v>96</v>
      </c>
      <c r="M13" s="10" t="s">
        <v>96</v>
      </c>
      <c r="N13" s="10">
        <v>0</v>
      </c>
      <c r="O13" s="10"/>
      <c r="P13" s="10">
        <v>5</v>
      </c>
      <c r="Q13" s="10">
        <v>5</v>
      </c>
      <c r="R13" s="10">
        <v>0</v>
      </c>
      <c r="S13" s="10">
        <v>6</v>
      </c>
      <c r="T13" s="10">
        <v>22</v>
      </c>
      <c r="U13" s="10"/>
      <c r="V13" s="10"/>
      <c r="W13" s="10"/>
    </row>
    <row r="14" spans="1:23" ht="23.1" customHeight="1">
      <c r="A14" s="7">
        <v>28</v>
      </c>
      <c r="B14" s="8">
        <v>257</v>
      </c>
      <c r="C14" s="9" t="s">
        <v>86</v>
      </c>
      <c r="D14" s="10" t="s">
        <v>87</v>
      </c>
      <c r="E14" s="10" t="s">
        <v>30</v>
      </c>
      <c r="F14" s="10" t="s">
        <v>96</v>
      </c>
      <c r="G14" s="10" t="s">
        <v>96</v>
      </c>
      <c r="H14" s="10" t="s">
        <v>96</v>
      </c>
      <c r="I14" s="10" t="s">
        <v>96</v>
      </c>
      <c r="J14" s="10" t="s">
        <v>96</v>
      </c>
      <c r="K14" s="10" t="s">
        <v>96</v>
      </c>
      <c r="L14" s="10" t="s">
        <v>96</v>
      </c>
      <c r="M14" s="10" t="s">
        <v>96</v>
      </c>
      <c r="N14" s="10">
        <v>0</v>
      </c>
      <c r="O14" s="10">
        <v>0</v>
      </c>
      <c r="P14" s="10">
        <v>4</v>
      </c>
      <c r="Q14" s="10">
        <v>4</v>
      </c>
      <c r="R14" s="10">
        <v>0</v>
      </c>
      <c r="S14" s="10">
        <v>2</v>
      </c>
      <c r="T14" s="10">
        <v>8</v>
      </c>
      <c r="U14" s="10"/>
      <c r="V14" s="10"/>
      <c r="W14" s="10"/>
    </row>
    <row r="15" spans="1:23" ht="23.1" customHeight="1">
      <c r="A15" s="7">
        <v>29</v>
      </c>
      <c r="B15" s="8">
        <v>258</v>
      </c>
      <c r="C15" s="9" t="s">
        <v>88</v>
      </c>
      <c r="D15" s="9" t="s">
        <v>89</v>
      </c>
      <c r="E15" s="10" t="s">
        <v>30</v>
      </c>
      <c r="F15" s="10" t="s">
        <v>96</v>
      </c>
      <c r="G15" s="10" t="s">
        <v>96</v>
      </c>
      <c r="H15" s="10" t="s">
        <v>96</v>
      </c>
      <c r="I15" s="10" t="s">
        <v>96</v>
      </c>
      <c r="J15" s="10" t="s">
        <v>96</v>
      </c>
      <c r="K15" s="10" t="s">
        <v>96</v>
      </c>
      <c r="L15" s="10" t="s">
        <v>96</v>
      </c>
      <c r="M15" s="10" t="s">
        <v>96</v>
      </c>
      <c r="N15" s="10">
        <v>0</v>
      </c>
      <c r="O15" s="10">
        <v>0</v>
      </c>
      <c r="P15" s="10">
        <v>3</v>
      </c>
      <c r="Q15" s="10">
        <v>3</v>
      </c>
      <c r="R15" s="10">
        <v>0</v>
      </c>
      <c r="S15" s="10">
        <v>2</v>
      </c>
      <c r="T15" s="10">
        <v>7</v>
      </c>
      <c r="U15" s="10"/>
      <c r="V15" s="10"/>
      <c r="W15" s="10"/>
    </row>
    <row r="16" spans="1:23" ht="23.1" customHeight="1">
      <c r="A16" s="7">
        <v>30</v>
      </c>
      <c r="B16" s="8">
        <v>259</v>
      </c>
      <c r="C16" s="9" t="s">
        <v>90</v>
      </c>
      <c r="D16" s="9" t="s">
        <v>91</v>
      </c>
      <c r="E16" s="10" t="s">
        <v>25</v>
      </c>
      <c r="F16" s="10">
        <v>53</v>
      </c>
      <c r="G16" s="10">
        <v>63</v>
      </c>
      <c r="H16" s="10">
        <v>59</v>
      </c>
      <c r="I16" s="10">
        <v>60</v>
      </c>
      <c r="J16" s="10">
        <v>64</v>
      </c>
      <c r="K16" s="10">
        <v>55</v>
      </c>
      <c r="L16" s="10">
        <v>60</v>
      </c>
      <c r="M16" s="10">
        <v>43</v>
      </c>
      <c r="N16" s="10">
        <v>15</v>
      </c>
      <c r="O16" s="10">
        <v>15</v>
      </c>
      <c r="P16" s="10">
        <v>6</v>
      </c>
      <c r="Q16" s="10">
        <v>6</v>
      </c>
      <c r="R16" s="10">
        <v>18</v>
      </c>
      <c r="S16" s="10">
        <v>14</v>
      </c>
      <c r="T16" s="10">
        <v>536</v>
      </c>
      <c r="U16" s="10"/>
      <c r="V16" s="10"/>
      <c r="W16" s="10"/>
    </row>
    <row r="17" spans="1:23" ht="23.1" customHeight="1">
      <c r="A17" s="7">
        <v>31</v>
      </c>
      <c r="B17" s="8">
        <v>260</v>
      </c>
      <c r="C17" s="9" t="s">
        <v>92</v>
      </c>
      <c r="D17" s="9" t="s">
        <v>39</v>
      </c>
      <c r="E17" s="10" t="s">
        <v>25</v>
      </c>
      <c r="F17" s="10">
        <v>55</v>
      </c>
      <c r="G17" s="10">
        <v>65</v>
      </c>
      <c r="H17" s="10">
        <v>60</v>
      </c>
      <c r="I17" s="10">
        <v>57</v>
      </c>
      <c r="J17" s="10">
        <v>60</v>
      </c>
      <c r="K17" s="10">
        <v>58</v>
      </c>
      <c r="L17" s="10">
        <v>50</v>
      </c>
      <c r="M17" s="10">
        <v>49</v>
      </c>
      <c r="N17" s="10">
        <v>15</v>
      </c>
      <c r="O17" s="10">
        <v>15</v>
      </c>
      <c r="P17" s="10">
        <v>7</v>
      </c>
      <c r="Q17" s="10">
        <v>7</v>
      </c>
      <c r="R17" s="10">
        <v>16</v>
      </c>
      <c r="S17" s="10">
        <v>14</v>
      </c>
      <c r="T17" s="10">
        <v>527</v>
      </c>
      <c r="U17" s="10"/>
      <c r="V17" s="10"/>
      <c r="W17" s="10"/>
    </row>
    <row r="18" spans="1:23" ht="21" customHeight="1">
      <c r="A18" s="7">
        <v>32</v>
      </c>
      <c r="B18" s="8">
        <v>261</v>
      </c>
      <c r="C18" s="9" t="s">
        <v>93</v>
      </c>
      <c r="D18" s="9" t="s">
        <v>94</v>
      </c>
      <c r="E18" s="10" t="s">
        <v>24</v>
      </c>
      <c r="F18" s="10" t="s">
        <v>96</v>
      </c>
      <c r="G18" s="10" t="s">
        <v>96</v>
      </c>
      <c r="H18" s="10" t="s">
        <v>96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98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/>
      <c r="V18" s="10"/>
      <c r="W18" s="10"/>
    </row>
  </sheetData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dcterms:created xsi:type="dcterms:W3CDTF">2024-05-22T11:14:03Z</dcterms:created>
  <dcterms:modified xsi:type="dcterms:W3CDTF">2026-02-08T09:20:10Z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ca11223f68c84b5d9304a0f38b89938f</vt:lpwstr>
  </property>
</Properties>
</file>