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V6" i="1"/>
  <c r="V7"/>
  <c r="V8"/>
  <c r="V9"/>
  <c r="V10"/>
  <c r="V11"/>
  <c r="V12"/>
  <c r="V13"/>
  <c r="V14"/>
  <c r="V15"/>
  <c r="V16"/>
  <c r="V17"/>
  <c r="V18"/>
  <c r="V19"/>
  <c r="V5"/>
  <c r="U6"/>
  <c r="U7"/>
  <c r="U8"/>
  <c r="U9"/>
  <c r="U10"/>
  <c r="U11"/>
  <c r="U12"/>
  <c r="U13"/>
  <c r="U14"/>
  <c r="U15"/>
  <c r="U16"/>
  <c r="U17"/>
  <c r="U18"/>
  <c r="U19"/>
  <c r="U5"/>
  <c r="X5" l="1"/>
  <c r="W5"/>
</calcChain>
</file>

<file path=xl/sharedStrings.xml><?xml version="1.0" encoding="utf-8"?>
<sst xmlns="http://schemas.openxmlformats.org/spreadsheetml/2006/main" count="101" uniqueCount="69">
  <si>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</si>
  <si>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</si>
  <si>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</si>
  <si>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</si>
  <si>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</si>
  <si>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</si>
  <si>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</si>
  <si>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</si>
  <si>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</si>
  <si>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</si>
  <si>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</si>
  <si>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</si>
  <si>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</si>
  <si>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</si>
  <si>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</si>
  <si>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</si>
  <si>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</si>
  <si>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</si>
  <si>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</si>
  <si>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</si>
  <si>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</si>
  <si>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</si>
  <si>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Abdul Sami</t>
  </si>
  <si>
    <t>Kalwar</t>
  </si>
  <si>
    <t>Muhammad Pannah</t>
  </si>
  <si>
    <t>SCIENCE</t>
  </si>
  <si>
    <t>S.STUDY</t>
  </si>
  <si>
    <t>Muhammad Shafique</t>
  </si>
  <si>
    <t>Arain</t>
  </si>
  <si>
    <t>Muhammad Awais</t>
  </si>
  <si>
    <t>Bhagyal</t>
  </si>
  <si>
    <t>Abbasi</t>
  </si>
  <si>
    <t>Abdul Hadi</t>
  </si>
  <si>
    <t>Abdul Waheed</t>
  </si>
  <si>
    <t>Abdul Mohib</t>
  </si>
  <si>
    <t>Abdul Rauf</t>
  </si>
  <si>
    <t>Mahar</t>
  </si>
  <si>
    <t>Azhar Ali</t>
  </si>
  <si>
    <t>Ali Akbar</t>
  </si>
  <si>
    <t>Hassnain Ali</t>
  </si>
  <si>
    <t>Ishtiaque Ali</t>
  </si>
  <si>
    <t>Mehmood Ali</t>
  </si>
  <si>
    <t>Mujahid Hussain</t>
  </si>
  <si>
    <t>Allahyar</t>
  </si>
  <si>
    <t>Shoaib Ahmed</t>
  </si>
  <si>
    <t>Muhammad Faheem</t>
  </si>
  <si>
    <t xml:space="preserve">Shafi Muhammad </t>
  </si>
  <si>
    <t>Solangi</t>
  </si>
  <si>
    <t>Sagar</t>
  </si>
  <si>
    <t>Arbelo</t>
  </si>
  <si>
    <t>Marwai</t>
  </si>
  <si>
    <t>Areeba</t>
  </si>
  <si>
    <t>Muhammad Ibrahim</t>
  </si>
  <si>
    <t>Indhar</t>
  </si>
  <si>
    <t>Asma</t>
  </si>
  <si>
    <t>Mariam</t>
  </si>
  <si>
    <t>Nadia</t>
  </si>
  <si>
    <t>Yaseen</t>
  </si>
  <si>
    <t>Sumaiya</t>
  </si>
  <si>
    <t>Naveed Ali</t>
  </si>
  <si>
    <t>Mansa</t>
  </si>
  <si>
    <t>Muhammad Ishaque</t>
  </si>
  <si>
    <t>CLASS: FIVE</t>
  </si>
  <si>
    <t>RANK</t>
  </si>
  <si>
    <t>ANNUAL EXAMINATION 2025-2026</t>
  </si>
  <si>
    <t>ad</t>
  </si>
  <si>
    <t>Adnan Ali</t>
  </si>
  <si>
    <t>Gr.No</t>
  </si>
  <si>
    <t>Nishad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</si>
</sst>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opLeftCell="A5" workbookViewId="0">
      <selection activeCell="A19" sqref="A19"/>
    </sheetView>
  </sheetViews>
  <sheetFormatPr defaultRowHeight="15"/>
  <cols>
    <col min="2" max="2" width="4.28515625" customWidth="1"/>
    <col min="3" max="3" width="6.5703125" customWidth="1"/>
    <col min="4" max="4" width="20.5703125" customWidth="1"/>
    <col min="5" max="5" width="19.42578125" customWidth="1"/>
    <col min="6" max="6" width="8" customWidth="1"/>
    <col min="7" max="25" width="4.7109375" customWidth="1"/>
  </cols>
  <sheetData>
    <row r="1" spans="1:25" ht="21">
      <c r="B1" s="20" t="s">
        <v>19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21">
      <c r="B2" s="21" t="s">
        <v>64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ht="20.25" customHeight="1">
      <c r="B3" s="6"/>
      <c r="C3" s="6"/>
      <c r="D3" s="22" t="s">
        <v>62</v>
      </c>
      <c r="E3" s="22"/>
      <c r="F3" s="22"/>
      <c r="G3" s="22"/>
      <c r="H3" s="22"/>
      <c r="I3" s="22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9"/>
      <c r="V3" s="9"/>
      <c r="W3" s="6"/>
      <c r="X3" s="17"/>
      <c r="Y3" s="6"/>
    </row>
    <row r="4" spans="1:25" ht="81.75" customHeight="1">
      <c r="A4" s="7" t="s">
        <v>67</v>
      </c>
      <c r="B4" s="8" t="s">
        <v>14</v>
      </c>
      <c r="C4" s="5" t="s">
        <v>15</v>
      </c>
      <c r="D4" s="3" t="s">
        <v>16</v>
      </c>
      <c r="E4" s="3" t="s">
        <v>17</v>
      </c>
      <c r="F4" s="3" t="s">
        <v>18</v>
      </c>
      <c r="G4" s="2" t="s">
        <v>0</v>
      </c>
      <c r="H4" s="2" t="s">
        <v>25</v>
      </c>
      <c r="I4" s="2" t="s">
        <v>2</v>
      </c>
      <c r="J4" s="2" t="s">
        <v>26</v>
      </c>
      <c r="K4" s="2" t="s">
        <v>1</v>
      </c>
      <c r="L4" s="2" t="s">
        <v>4</v>
      </c>
      <c r="M4" s="2" t="s">
        <v>3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  <c r="T4" s="2" t="s">
        <v>11</v>
      </c>
      <c r="U4" s="2" t="s">
        <v>12</v>
      </c>
      <c r="V4" s="2" t="s">
        <v>20</v>
      </c>
      <c r="W4" s="2" t="s">
        <v>21</v>
      </c>
      <c r="X4" s="2" t="s">
        <v>63</v>
      </c>
      <c r="Y4" s="2" t="s">
        <v>13</v>
      </c>
    </row>
    <row r="5" spans="1:25" ht="21.95" customHeight="1">
      <c r="A5" s="1">
        <v>1837</v>
      </c>
      <c r="B5" s="7">
        <v>1</v>
      </c>
      <c r="C5" s="15">
        <v>501</v>
      </c>
      <c r="D5" s="16" t="s">
        <v>32</v>
      </c>
      <c r="E5" s="16" t="s">
        <v>33</v>
      </c>
      <c r="F5" s="1" t="s">
        <v>23</v>
      </c>
      <c r="G5" s="1">
        <v>86</v>
      </c>
      <c r="H5" s="1">
        <v>50</v>
      </c>
      <c r="I5" s="1">
        <v>64</v>
      </c>
      <c r="J5" s="1">
        <v>70</v>
      </c>
      <c r="K5" s="1">
        <v>74</v>
      </c>
      <c r="L5" s="1">
        <v>63</v>
      </c>
      <c r="M5" s="1">
        <v>75</v>
      </c>
      <c r="N5" s="1">
        <v>73</v>
      </c>
      <c r="O5" s="1">
        <v>18</v>
      </c>
      <c r="P5" s="1">
        <v>18</v>
      </c>
      <c r="Q5" s="1">
        <v>8</v>
      </c>
      <c r="R5" s="1">
        <v>7</v>
      </c>
      <c r="S5" s="1">
        <v>18</v>
      </c>
      <c r="T5" s="1">
        <v>17</v>
      </c>
      <c r="U5" s="1">
        <f>SUM(G5:T5)</f>
        <v>641</v>
      </c>
      <c r="V5" s="1">
        <f>SUM(U5/900*100)</f>
        <v>71.222222222222214</v>
      </c>
      <c r="W5" s="1" t="str">
        <f>IF(V5&gt;79.99,"A1",IF(V5&gt;69.99,"A",IF(V5&gt;59.99,"B",IF(V5&gt;49.99,"C",IF(V5&gt;39.99,"D",IF(V5&gt;32.99,"E","FAIL"))))))</f>
        <v>A</v>
      </c>
      <c r="X5" s="1">
        <f>RANK(V5,V$5:V19)</f>
        <v>3</v>
      </c>
      <c r="Y5" s="1"/>
    </row>
    <row r="6" spans="1:25" ht="21.95" customHeight="1">
      <c r="A6" s="1">
        <v>1831</v>
      </c>
      <c r="B6" s="7">
        <v>2</v>
      </c>
      <c r="C6" s="15">
        <v>502</v>
      </c>
      <c r="D6" s="16" t="s">
        <v>34</v>
      </c>
      <c r="E6" s="16" t="s">
        <v>35</v>
      </c>
      <c r="F6" s="1" t="s">
        <v>36</v>
      </c>
      <c r="G6" s="1">
        <v>45</v>
      </c>
      <c r="H6" s="1">
        <v>45</v>
      </c>
      <c r="I6" s="1">
        <v>50</v>
      </c>
      <c r="J6" s="1">
        <v>55</v>
      </c>
      <c r="K6" s="1">
        <v>62</v>
      </c>
      <c r="L6" s="1">
        <v>60</v>
      </c>
      <c r="M6" s="1">
        <v>44</v>
      </c>
      <c r="N6" s="1">
        <v>54</v>
      </c>
      <c r="O6" s="1">
        <v>14</v>
      </c>
      <c r="P6" s="1">
        <v>12</v>
      </c>
      <c r="Q6" s="1">
        <v>9</v>
      </c>
      <c r="R6" s="1">
        <v>5</v>
      </c>
      <c r="S6" s="1">
        <v>10</v>
      </c>
      <c r="T6" s="1">
        <v>10</v>
      </c>
      <c r="U6" s="1">
        <f t="shared" ref="U6:U19" si="0">SUM(G6:T6)</f>
        <v>475</v>
      </c>
      <c r="V6" s="1">
        <f t="shared" ref="V6:V19" si="1">SUM(U6/900*100)</f>
        <v>52.777777777777779</v>
      </c>
      <c r="W6" s="1"/>
      <c r="X6" s="1"/>
      <c r="Y6" s="1"/>
    </row>
    <row r="7" spans="1:25" ht="21.95" customHeight="1">
      <c r="A7" s="1">
        <v>1846</v>
      </c>
      <c r="B7" s="7">
        <v>3</v>
      </c>
      <c r="C7" s="15">
        <v>503</v>
      </c>
      <c r="D7" s="16" t="s">
        <v>37</v>
      </c>
      <c r="E7" s="16" t="s">
        <v>38</v>
      </c>
      <c r="F7" s="1" t="s">
        <v>23</v>
      </c>
      <c r="G7" s="1">
        <v>80</v>
      </c>
      <c r="H7" s="1">
        <v>56</v>
      </c>
      <c r="I7" s="1">
        <v>54</v>
      </c>
      <c r="J7" s="1">
        <v>69</v>
      </c>
      <c r="K7" s="1">
        <v>70</v>
      </c>
      <c r="L7" s="1">
        <v>60</v>
      </c>
      <c r="M7" s="1">
        <v>54</v>
      </c>
      <c r="N7" s="1">
        <v>57</v>
      </c>
      <c r="O7" s="1">
        <v>18</v>
      </c>
      <c r="P7" s="1">
        <v>17</v>
      </c>
      <c r="Q7" s="1">
        <v>8</v>
      </c>
      <c r="R7" s="1">
        <v>7</v>
      </c>
      <c r="S7" s="1">
        <v>17</v>
      </c>
      <c r="T7" s="1">
        <v>16</v>
      </c>
      <c r="U7" s="1">
        <f t="shared" si="0"/>
        <v>583</v>
      </c>
      <c r="V7" s="1">
        <f t="shared" si="1"/>
        <v>64.777777777777771</v>
      </c>
      <c r="W7" s="1"/>
      <c r="X7" s="1"/>
      <c r="Y7" s="1"/>
    </row>
    <row r="8" spans="1:25" ht="21.95" customHeight="1">
      <c r="A8" s="1">
        <v>1835</v>
      </c>
      <c r="B8" s="7">
        <v>4</v>
      </c>
      <c r="C8" s="15">
        <v>504</v>
      </c>
      <c r="D8" s="16" t="s">
        <v>39</v>
      </c>
      <c r="E8" s="16" t="s">
        <v>40</v>
      </c>
      <c r="F8" s="1" t="s">
        <v>23</v>
      </c>
      <c r="G8" s="1">
        <v>40</v>
      </c>
      <c r="H8" s="1">
        <v>52</v>
      </c>
      <c r="I8" s="1">
        <v>56</v>
      </c>
      <c r="J8" s="1">
        <v>70</v>
      </c>
      <c r="K8" s="1">
        <v>55</v>
      </c>
      <c r="L8" s="1">
        <v>60</v>
      </c>
      <c r="M8" s="1">
        <v>40</v>
      </c>
      <c r="N8" s="1">
        <v>45</v>
      </c>
      <c r="O8" s="1">
        <v>16</v>
      </c>
      <c r="P8" s="1">
        <v>15</v>
      </c>
      <c r="Q8" s="1">
        <v>6</v>
      </c>
      <c r="R8" s="1">
        <v>7</v>
      </c>
      <c r="S8" s="1">
        <v>15</v>
      </c>
      <c r="T8" s="1">
        <v>14</v>
      </c>
      <c r="U8" s="1">
        <f t="shared" si="0"/>
        <v>491</v>
      </c>
      <c r="V8" s="1">
        <f t="shared" si="1"/>
        <v>54.555555555555557</v>
      </c>
      <c r="W8" s="1"/>
      <c r="X8" s="1"/>
      <c r="Y8" s="1"/>
    </row>
    <row r="9" spans="1:25" ht="21.95" customHeight="1">
      <c r="A9" s="1">
        <v>1843</v>
      </c>
      <c r="B9" s="7">
        <v>5</v>
      </c>
      <c r="C9" s="15">
        <v>505</v>
      </c>
      <c r="D9" s="16" t="s">
        <v>29</v>
      </c>
      <c r="E9" s="16" t="s">
        <v>41</v>
      </c>
      <c r="F9" s="1" t="s">
        <v>36</v>
      </c>
      <c r="G9" s="1">
        <v>74</v>
      </c>
      <c r="H9" s="1">
        <v>33</v>
      </c>
      <c r="I9" s="1">
        <v>43</v>
      </c>
      <c r="J9" s="1">
        <v>50</v>
      </c>
      <c r="K9" s="1">
        <v>55</v>
      </c>
      <c r="L9" s="1">
        <v>68</v>
      </c>
      <c r="M9" s="1">
        <v>35</v>
      </c>
      <c r="N9" s="1">
        <v>53</v>
      </c>
      <c r="O9" s="1">
        <v>13</v>
      </c>
      <c r="P9" s="1">
        <v>12</v>
      </c>
      <c r="Q9" s="1">
        <v>4</v>
      </c>
      <c r="R9" s="1">
        <v>4</v>
      </c>
      <c r="S9" s="1">
        <v>12</v>
      </c>
      <c r="T9" s="1">
        <v>11</v>
      </c>
      <c r="U9" s="1">
        <f t="shared" si="0"/>
        <v>467</v>
      </c>
      <c r="V9" s="1">
        <f t="shared" si="1"/>
        <v>51.888888888888886</v>
      </c>
      <c r="W9" s="1"/>
      <c r="X9" s="1"/>
      <c r="Y9" s="1"/>
    </row>
    <row r="10" spans="1:25" ht="21.95" customHeight="1">
      <c r="A10" s="1">
        <v>1844</v>
      </c>
      <c r="B10" s="7">
        <v>6</v>
      </c>
      <c r="C10" s="15">
        <v>506</v>
      </c>
      <c r="D10" s="16" t="s">
        <v>42</v>
      </c>
      <c r="E10" s="16" t="s">
        <v>24</v>
      </c>
      <c r="F10" s="1" t="s">
        <v>23</v>
      </c>
      <c r="G10" s="1">
        <v>74</v>
      </c>
      <c r="H10" s="1">
        <v>48</v>
      </c>
      <c r="I10" s="1">
        <v>60</v>
      </c>
      <c r="J10" s="1">
        <v>63</v>
      </c>
      <c r="K10" s="1">
        <v>65</v>
      </c>
      <c r="L10" s="1">
        <v>60</v>
      </c>
      <c r="M10" s="1">
        <v>45</v>
      </c>
      <c r="N10" s="1">
        <v>63</v>
      </c>
      <c r="O10" s="1">
        <v>17</v>
      </c>
      <c r="P10" s="1">
        <v>16</v>
      </c>
      <c r="Q10" s="1">
        <v>7</v>
      </c>
      <c r="R10" s="1">
        <v>8</v>
      </c>
      <c r="S10" s="1">
        <v>18</v>
      </c>
      <c r="T10" s="1">
        <v>17</v>
      </c>
      <c r="U10" s="1">
        <f t="shared" si="0"/>
        <v>561</v>
      </c>
      <c r="V10" s="1">
        <f t="shared" si="1"/>
        <v>62.333333333333329</v>
      </c>
      <c r="W10" s="1"/>
      <c r="X10" s="1"/>
      <c r="Y10" s="1"/>
    </row>
    <row r="11" spans="1:25" ht="21.95" customHeight="1">
      <c r="A11" s="1">
        <v>1758</v>
      </c>
      <c r="B11" s="7">
        <v>7</v>
      </c>
      <c r="C11" s="15">
        <v>507</v>
      </c>
      <c r="D11" s="1" t="s">
        <v>68</v>
      </c>
      <c r="E11" s="16" t="s">
        <v>43</v>
      </c>
      <c r="F11" s="1" t="s">
        <v>31</v>
      </c>
      <c r="G11" s="1">
        <v>33</v>
      </c>
      <c r="H11" s="1">
        <v>42</v>
      </c>
      <c r="I11" s="1">
        <v>35</v>
      </c>
      <c r="J11" s="1">
        <v>45</v>
      </c>
      <c r="K11" s="1">
        <v>57</v>
      </c>
      <c r="L11" s="1">
        <v>55</v>
      </c>
      <c r="M11" s="1">
        <v>35</v>
      </c>
      <c r="N11" s="1">
        <v>45</v>
      </c>
      <c r="O11" s="1">
        <v>15</v>
      </c>
      <c r="P11" s="1">
        <v>14</v>
      </c>
      <c r="Q11" s="1">
        <v>4</v>
      </c>
      <c r="R11" s="1">
        <v>4</v>
      </c>
      <c r="S11" s="1">
        <v>6</v>
      </c>
      <c r="T11" s="1">
        <v>5</v>
      </c>
      <c r="U11" s="1">
        <f t="shared" si="0"/>
        <v>395</v>
      </c>
      <c r="V11" s="1">
        <f t="shared" si="1"/>
        <v>43.888888888888886</v>
      </c>
      <c r="W11" s="1"/>
      <c r="X11" s="1"/>
      <c r="Y11" s="1"/>
    </row>
    <row r="12" spans="1:25" ht="21.95" customHeight="1">
      <c r="A12" s="1">
        <v>1839</v>
      </c>
      <c r="B12" s="7">
        <v>8</v>
      </c>
      <c r="C12" s="15">
        <v>508</v>
      </c>
      <c r="D12" s="16" t="s">
        <v>44</v>
      </c>
      <c r="E12" s="16" t="s">
        <v>30</v>
      </c>
      <c r="F12" s="1" t="s">
        <v>31</v>
      </c>
      <c r="G12" s="1">
        <v>34</v>
      </c>
      <c r="H12" s="18">
        <v>45</v>
      </c>
      <c r="I12" s="1">
        <v>44</v>
      </c>
      <c r="J12" s="1">
        <v>50</v>
      </c>
      <c r="K12" s="1">
        <v>55</v>
      </c>
      <c r="L12" s="1">
        <v>54</v>
      </c>
      <c r="M12" s="1">
        <v>35</v>
      </c>
      <c r="N12" s="1">
        <v>51</v>
      </c>
      <c r="O12" s="1">
        <v>12</v>
      </c>
      <c r="P12" s="1">
        <v>15</v>
      </c>
      <c r="Q12" s="1">
        <v>8</v>
      </c>
      <c r="R12" s="1">
        <v>5</v>
      </c>
      <c r="S12" s="1">
        <v>12</v>
      </c>
      <c r="T12" s="1">
        <v>15</v>
      </c>
      <c r="U12" s="1">
        <f t="shared" si="0"/>
        <v>435</v>
      </c>
      <c r="V12" s="1">
        <f t="shared" si="1"/>
        <v>48.333333333333336</v>
      </c>
      <c r="W12" s="1"/>
      <c r="X12" s="1"/>
      <c r="Y12" s="1"/>
    </row>
    <row r="13" spans="1:25" ht="21.95" customHeight="1">
      <c r="A13" s="1"/>
      <c r="B13" s="7">
        <v>9</v>
      </c>
      <c r="C13" s="15">
        <v>509</v>
      </c>
      <c r="D13" s="1" t="s">
        <v>45</v>
      </c>
      <c r="E13" s="1" t="s">
        <v>46</v>
      </c>
      <c r="F13" s="1" t="s">
        <v>47</v>
      </c>
      <c r="G13" s="1">
        <v>55</v>
      </c>
      <c r="H13" s="1">
        <v>33</v>
      </c>
      <c r="I13" s="1">
        <v>45</v>
      </c>
      <c r="J13" s="1">
        <v>60</v>
      </c>
      <c r="K13" s="1">
        <v>65</v>
      </c>
      <c r="L13" s="1">
        <v>70</v>
      </c>
      <c r="M13" s="1">
        <v>50</v>
      </c>
      <c r="N13" s="1">
        <v>43</v>
      </c>
      <c r="O13" s="1">
        <v>14</v>
      </c>
      <c r="P13" s="1">
        <v>15</v>
      </c>
      <c r="Q13" s="1">
        <v>5</v>
      </c>
      <c r="R13" s="1">
        <v>5</v>
      </c>
      <c r="S13" s="1">
        <v>13</v>
      </c>
      <c r="T13" s="1">
        <v>11</v>
      </c>
      <c r="U13" s="1">
        <f t="shared" si="0"/>
        <v>484</v>
      </c>
      <c r="V13" s="1">
        <f t="shared" si="1"/>
        <v>53.777777777777779</v>
      </c>
      <c r="W13" s="1"/>
      <c r="X13" s="1"/>
      <c r="Y13" s="1"/>
    </row>
    <row r="14" spans="1:25" ht="21.95" customHeight="1">
      <c r="A14" s="1">
        <v>1832</v>
      </c>
      <c r="B14" s="7">
        <v>10</v>
      </c>
      <c r="C14" s="15">
        <v>510</v>
      </c>
      <c r="D14" s="1" t="s">
        <v>48</v>
      </c>
      <c r="E14" s="1" t="s">
        <v>49</v>
      </c>
      <c r="F14" s="1" t="s">
        <v>50</v>
      </c>
      <c r="G14" s="1">
        <v>55</v>
      </c>
      <c r="H14" s="1">
        <v>65</v>
      </c>
      <c r="I14" s="1">
        <v>45</v>
      </c>
      <c r="J14" s="1">
        <v>46</v>
      </c>
      <c r="K14" s="1">
        <v>40</v>
      </c>
      <c r="L14" s="1">
        <v>50</v>
      </c>
      <c r="M14" s="1">
        <v>52</v>
      </c>
      <c r="N14" s="1">
        <v>50</v>
      </c>
      <c r="O14" s="1">
        <v>11</v>
      </c>
      <c r="P14" s="1">
        <v>12</v>
      </c>
      <c r="Q14" s="1">
        <v>7</v>
      </c>
      <c r="R14" s="1">
        <v>7</v>
      </c>
      <c r="S14" s="1">
        <v>14</v>
      </c>
      <c r="T14" s="1">
        <v>12</v>
      </c>
      <c r="U14" s="1">
        <f t="shared" si="0"/>
        <v>466</v>
      </c>
      <c r="V14" s="1">
        <f t="shared" si="1"/>
        <v>51.777777777777779</v>
      </c>
      <c r="W14" s="1"/>
      <c r="X14" s="1"/>
      <c r="Y14" s="1"/>
    </row>
    <row r="15" spans="1:25" ht="21.95" customHeight="1">
      <c r="A15" s="1">
        <v>1838</v>
      </c>
      <c r="B15" s="7">
        <v>11</v>
      </c>
      <c r="C15" s="15">
        <v>551</v>
      </c>
      <c r="D15" s="16" t="s">
        <v>51</v>
      </c>
      <c r="E15" s="16" t="s">
        <v>52</v>
      </c>
      <c r="F15" s="1" t="s">
        <v>53</v>
      </c>
      <c r="G15" s="1">
        <v>50</v>
      </c>
      <c r="H15" s="1">
        <v>36</v>
      </c>
      <c r="I15" s="1">
        <v>33</v>
      </c>
      <c r="J15" s="1">
        <v>55</v>
      </c>
      <c r="K15" s="1">
        <v>60</v>
      </c>
      <c r="L15" s="1">
        <v>63</v>
      </c>
      <c r="M15" s="1">
        <v>50</v>
      </c>
      <c r="N15" s="1">
        <v>50</v>
      </c>
      <c r="O15" s="1">
        <v>17</v>
      </c>
      <c r="P15" s="1">
        <v>15</v>
      </c>
      <c r="Q15" s="1">
        <v>5</v>
      </c>
      <c r="R15" s="1">
        <v>9</v>
      </c>
      <c r="S15" s="1">
        <v>12</v>
      </c>
      <c r="T15" s="1">
        <v>15</v>
      </c>
      <c r="U15" s="1">
        <f t="shared" si="0"/>
        <v>470</v>
      </c>
      <c r="V15" s="1">
        <f t="shared" si="1"/>
        <v>52.222222222222229</v>
      </c>
      <c r="W15" s="1"/>
      <c r="X15" s="1"/>
      <c r="Y15" s="1"/>
    </row>
    <row r="16" spans="1:25" ht="21.95" customHeight="1">
      <c r="A16" s="1">
        <v>1840</v>
      </c>
      <c r="B16" s="7">
        <v>12</v>
      </c>
      <c r="C16" s="15">
        <v>552</v>
      </c>
      <c r="D16" s="16" t="s">
        <v>54</v>
      </c>
      <c r="E16" s="16" t="s">
        <v>22</v>
      </c>
      <c r="F16" s="1" t="s">
        <v>23</v>
      </c>
      <c r="G16" s="1">
        <v>49</v>
      </c>
      <c r="H16" s="1">
        <v>38</v>
      </c>
      <c r="I16" s="1">
        <v>33</v>
      </c>
      <c r="J16" s="1">
        <v>50</v>
      </c>
      <c r="K16" s="1">
        <v>56</v>
      </c>
      <c r="L16" s="1">
        <v>60</v>
      </c>
      <c r="M16" s="1">
        <v>63</v>
      </c>
      <c r="N16" s="1">
        <v>70</v>
      </c>
      <c r="O16" s="1">
        <v>16</v>
      </c>
      <c r="P16" s="1">
        <v>17</v>
      </c>
      <c r="Q16" s="1">
        <v>6</v>
      </c>
      <c r="R16" s="1">
        <v>7</v>
      </c>
      <c r="S16" s="1">
        <v>14</v>
      </c>
      <c r="T16" s="1">
        <v>16</v>
      </c>
      <c r="U16" s="1">
        <f t="shared" si="0"/>
        <v>495</v>
      </c>
      <c r="V16" s="1">
        <f t="shared" si="1"/>
        <v>55.000000000000007</v>
      </c>
      <c r="W16" s="1"/>
      <c r="X16" s="1"/>
      <c r="Y16" s="1"/>
    </row>
    <row r="17" spans="1:25" ht="21.95" customHeight="1">
      <c r="A17" s="1">
        <v>1899</v>
      </c>
      <c r="B17" s="7">
        <v>13</v>
      </c>
      <c r="C17" s="15">
        <v>553</v>
      </c>
      <c r="D17" s="16" t="s">
        <v>55</v>
      </c>
      <c r="E17" s="16" t="s">
        <v>27</v>
      </c>
      <c r="F17" s="1" t="s">
        <v>28</v>
      </c>
      <c r="G17" s="1">
        <v>85</v>
      </c>
      <c r="H17" s="1">
        <v>55</v>
      </c>
      <c r="I17" s="1">
        <v>65</v>
      </c>
      <c r="J17" s="1">
        <v>70</v>
      </c>
      <c r="K17" s="1">
        <v>84</v>
      </c>
      <c r="L17" s="1">
        <v>77</v>
      </c>
      <c r="M17" s="1">
        <v>70</v>
      </c>
      <c r="N17" s="1">
        <v>75</v>
      </c>
      <c r="O17" s="1">
        <v>18</v>
      </c>
      <c r="P17" s="1">
        <v>18</v>
      </c>
      <c r="Q17" s="1">
        <v>7</v>
      </c>
      <c r="R17" s="1">
        <v>9</v>
      </c>
      <c r="S17" s="1">
        <v>18</v>
      </c>
      <c r="T17" s="1">
        <v>17</v>
      </c>
      <c r="U17" s="1">
        <f t="shared" si="0"/>
        <v>668</v>
      </c>
      <c r="V17" s="1">
        <f t="shared" si="1"/>
        <v>74.222222222222229</v>
      </c>
      <c r="W17" s="1"/>
      <c r="X17" s="1"/>
      <c r="Y17" s="1"/>
    </row>
    <row r="18" spans="1:25" ht="21.95" customHeight="1">
      <c r="A18" s="1">
        <v>1945</v>
      </c>
      <c r="B18" s="7">
        <v>14</v>
      </c>
      <c r="C18" s="15">
        <v>554</v>
      </c>
      <c r="D18" s="16" t="s">
        <v>56</v>
      </c>
      <c r="E18" s="16" t="s">
        <v>57</v>
      </c>
      <c r="F18" s="1" t="s">
        <v>23</v>
      </c>
      <c r="G18" s="1">
        <v>37</v>
      </c>
      <c r="H18" s="1">
        <v>49</v>
      </c>
      <c r="I18" s="1">
        <v>45</v>
      </c>
      <c r="J18" s="1">
        <v>60</v>
      </c>
      <c r="K18" s="1">
        <v>62</v>
      </c>
      <c r="L18" s="1">
        <v>70</v>
      </c>
      <c r="M18" s="1">
        <v>46</v>
      </c>
      <c r="N18" s="1">
        <v>53</v>
      </c>
      <c r="O18" s="1">
        <v>15</v>
      </c>
      <c r="P18" s="1">
        <v>12</v>
      </c>
      <c r="Q18" s="1">
        <v>9</v>
      </c>
      <c r="R18" s="1">
        <v>8</v>
      </c>
      <c r="S18" s="1">
        <v>15</v>
      </c>
      <c r="T18" s="1">
        <v>15</v>
      </c>
      <c r="U18" s="1">
        <f t="shared" si="0"/>
        <v>496</v>
      </c>
      <c r="V18" s="1">
        <f t="shared" si="1"/>
        <v>55.111111111111114</v>
      </c>
      <c r="W18" s="1"/>
      <c r="X18" s="1"/>
      <c r="Y18" s="1"/>
    </row>
    <row r="19" spans="1:25" ht="21.95" customHeight="1">
      <c r="A19" s="1">
        <v>1836</v>
      </c>
      <c r="B19" s="7">
        <v>15</v>
      </c>
      <c r="C19" s="15">
        <v>555</v>
      </c>
      <c r="D19" s="16" t="s">
        <v>58</v>
      </c>
      <c r="E19" s="16" t="s">
        <v>59</v>
      </c>
      <c r="F19" s="1" t="s">
        <v>23</v>
      </c>
      <c r="G19" s="1">
        <v>85</v>
      </c>
      <c r="H19" s="1">
        <v>60</v>
      </c>
      <c r="I19" s="1">
        <v>95</v>
      </c>
      <c r="J19" s="1">
        <v>85</v>
      </c>
      <c r="K19" s="1">
        <v>80</v>
      </c>
      <c r="L19" s="1">
        <v>82</v>
      </c>
      <c r="M19" s="1">
        <v>70</v>
      </c>
      <c r="N19" s="1">
        <v>76</v>
      </c>
      <c r="O19" s="1">
        <v>17</v>
      </c>
      <c r="P19" s="1">
        <v>17</v>
      </c>
      <c r="Q19" s="1">
        <v>8</v>
      </c>
      <c r="R19" s="1">
        <v>8</v>
      </c>
      <c r="S19" s="1">
        <v>16</v>
      </c>
      <c r="T19" s="1">
        <v>16</v>
      </c>
      <c r="U19" s="1">
        <f t="shared" si="0"/>
        <v>715</v>
      </c>
      <c r="V19" s="1">
        <f t="shared" si="1"/>
        <v>79.444444444444443</v>
      </c>
      <c r="W19" s="1"/>
      <c r="X19" s="1"/>
      <c r="Y19" s="1"/>
    </row>
  </sheetData>
  <mergeCells count="4">
    <mergeCell ref="B1:Y1"/>
    <mergeCell ref="B2:Y2"/>
    <mergeCell ref="D3:E3"/>
    <mergeCell ref="F3:I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X18"/>
  <sheetViews>
    <sheetView tabSelected="1" workbookViewId="0">
      <selection activeCell="A6" sqref="A6"/>
    </sheetView>
  </sheetViews>
  <sheetFormatPr defaultRowHeight="15"/>
  <cols>
    <col min="2" max="2" width="5.28515625" customWidth="1"/>
    <col min="3" max="3" width="5.42578125" customWidth="1"/>
    <col min="4" max="4" width="18.140625" customWidth="1"/>
    <col min="5" max="5" width="19.28515625" bestFit="1" customWidth="1"/>
    <col min="6" max="6" width="7" bestFit="1" customWidth="1"/>
    <col min="7" max="24" width="4.7109375" customWidth="1"/>
  </cols>
  <sheetData>
    <row r="3" spans="1:24" s="10" customFormat="1" ht="100.5" customHeight="1">
      <c r="A3" s="16"/>
      <c r="B3" s="11" t="s">
        <v>14</v>
      </c>
      <c r="C3" s="12" t="s">
        <v>15</v>
      </c>
      <c r="D3" s="13" t="s">
        <v>16</v>
      </c>
      <c r="E3" s="13" t="s">
        <v>17</v>
      </c>
      <c r="F3" s="13" t="s">
        <v>18</v>
      </c>
      <c r="G3" s="2" t="s">
        <v>0</v>
      </c>
      <c r="H3" s="2" t="s">
        <v>25</v>
      </c>
      <c r="I3" s="2" t="s">
        <v>2</v>
      </c>
      <c r="J3" s="2" t="s">
        <v>26</v>
      </c>
      <c r="K3" s="2" t="s">
        <v>1</v>
      </c>
      <c r="L3" s="2" t="s">
        <v>4</v>
      </c>
      <c r="M3" s="2" t="s">
        <v>3</v>
      </c>
      <c r="N3" s="14" t="s">
        <v>5</v>
      </c>
      <c r="O3" s="14" t="s">
        <v>6</v>
      </c>
      <c r="P3" s="14" t="s">
        <v>7</v>
      </c>
      <c r="Q3" s="14" t="s">
        <v>8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20</v>
      </c>
      <c r="W3" s="14" t="s">
        <v>21</v>
      </c>
      <c r="X3" s="14" t="s">
        <v>13</v>
      </c>
    </row>
    <row r="4" spans="1:24" ht="23.1" customHeight="1">
      <c r="A4" s="1">
        <v>1834</v>
      </c>
      <c r="B4" s="7">
        <v>16</v>
      </c>
      <c r="C4" s="15">
        <v>556</v>
      </c>
      <c r="D4" s="16" t="s">
        <v>60</v>
      </c>
      <c r="E4" s="16" t="s">
        <v>61</v>
      </c>
      <c r="F4" s="1" t="s">
        <v>23</v>
      </c>
      <c r="G4" s="19">
        <v>50</v>
      </c>
      <c r="H4" s="1">
        <v>50</v>
      </c>
      <c r="I4" s="1">
        <v>42</v>
      </c>
      <c r="J4" s="1">
        <v>67</v>
      </c>
      <c r="K4" s="1">
        <v>70</v>
      </c>
      <c r="L4" s="1">
        <v>65</v>
      </c>
      <c r="M4" s="1">
        <v>40</v>
      </c>
      <c r="N4" s="1">
        <v>53</v>
      </c>
      <c r="O4" s="1">
        <v>18</v>
      </c>
      <c r="P4" s="1">
        <v>17</v>
      </c>
      <c r="Q4" s="1">
        <v>5</v>
      </c>
      <c r="R4" s="1">
        <v>5</v>
      </c>
      <c r="S4" s="1">
        <v>13</v>
      </c>
      <c r="T4" s="1">
        <v>14</v>
      </c>
      <c r="U4" s="1" t="s">
        <v>65</v>
      </c>
      <c r="V4" s="1"/>
      <c r="W4" s="1"/>
      <c r="X4" s="1"/>
    </row>
    <row r="5" spans="1:24" ht="23.1" customHeight="1">
      <c r="A5" s="1">
        <v>1832</v>
      </c>
      <c r="B5" s="7">
        <v>17</v>
      </c>
      <c r="C5" s="15"/>
      <c r="D5" s="1" t="s">
        <v>66</v>
      </c>
      <c r="E5" s="16"/>
      <c r="F5" s="1"/>
      <c r="G5" s="1">
        <v>45</v>
      </c>
      <c r="H5" s="1">
        <v>42</v>
      </c>
      <c r="I5" s="1">
        <v>40</v>
      </c>
      <c r="J5" s="1">
        <v>50</v>
      </c>
      <c r="K5" s="1">
        <v>49</v>
      </c>
      <c r="L5" s="1">
        <v>50</v>
      </c>
      <c r="M5" s="1">
        <v>52</v>
      </c>
      <c r="N5" s="1">
        <v>52</v>
      </c>
      <c r="O5" s="1">
        <v>12</v>
      </c>
      <c r="P5" s="1">
        <v>12</v>
      </c>
      <c r="Q5" s="1">
        <v>5</v>
      </c>
      <c r="R5" s="1">
        <v>5</v>
      </c>
      <c r="S5" s="1">
        <v>10</v>
      </c>
      <c r="T5" s="1">
        <v>10</v>
      </c>
      <c r="U5" s="1"/>
      <c r="V5" s="1"/>
      <c r="W5" s="1"/>
      <c r="X5" s="1"/>
    </row>
    <row r="6" spans="1:24" ht="23.1" customHeight="1">
      <c r="A6" s="1"/>
      <c r="B6" s="7">
        <v>18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3.1" customHeight="1">
      <c r="A7" s="1"/>
      <c r="B7" s="7">
        <v>19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3.1" customHeight="1">
      <c r="A8" s="1"/>
      <c r="B8" s="7">
        <v>20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3.1" customHeight="1">
      <c r="A9" s="1"/>
      <c r="B9" s="7">
        <v>21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3.1" customHeight="1">
      <c r="A10" s="1"/>
      <c r="B10" s="7">
        <v>22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3.1" customHeight="1">
      <c r="A11" s="1"/>
      <c r="B11" s="7">
        <v>23</v>
      </c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3.1" customHeight="1">
      <c r="A12" s="1"/>
      <c r="B12" s="7">
        <v>24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3.1" customHeight="1">
      <c r="A13" s="1"/>
      <c r="B13" s="7">
        <v>25</v>
      </c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3.1" customHeight="1">
      <c r="A14" s="1"/>
      <c r="B14" s="7">
        <v>26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3.1" customHeight="1">
      <c r="A15" s="1"/>
      <c r="B15" s="7">
        <v>27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3.1" customHeight="1">
      <c r="A16" s="1"/>
      <c r="B16" s="7">
        <v>28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3.1" customHeight="1">
      <c r="A17" s="1"/>
      <c r="B17" s="7">
        <v>29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3.1" customHeight="1">
      <c r="A18" s="1"/>
      <c r="B18" s="7">
        <v>30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2026-03-03T09:00:27Z</cp:lastPrinted>
  <dcterms:created xsi:type="dcterms:W3CDTF">2024-05-23T07:14:03Z</dcterms:created>
  <dcterms:modified xsi:type="dcterms:W3CDTF">2026-07-01T08:54:39Z</dcterms:modified>
</cp:coreProperties>
</file>