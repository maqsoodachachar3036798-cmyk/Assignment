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oral sheets\ALL CLASSES RESULT\"/>
    </mc:Choice>
  </mc:AlternateContent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" i="3"/>
  <c r="T26" i="3"/>
  <c r="U26" i="3" s="1"/>
  <c r="T25" i="3"/>
  <c r="U25" i="3" s="1"/>
  <c r="T24" i="3"/>
  <c r="U24" i="3" s="1"/>
  <c r="T23" i="3"/>
  <c r="U23" i="3" s="1"/>
  <c r="T22" i="3"/>
  <c r="U22" i="3" s="1"/>
  <c r="T21" i="3"/>
  <c r="U21" i="3" s="1"/>
  <c r="T20" i="3"/>
  <c r="U20" i="3" s="1"/>
  <c r="T19" i="3"/>
  <c r="U19" i="3" s="1"/>
  <c r="T18" i="3"/>
  <c r="U18" i="3" s="1"/>
  <c r="T17" i="3"/>
  <c r="U17" i="3" s="1"/>
  <c r="T16" i="3"/>
  <c r="U16" i="3" s="1"/>
  <c r="T15" i="3"/>
  <c r="U15" i="3" s="1"/>
  <c r="T14" i="3"/>
  <c r="U14" i="3" s="1"/>
  <c r="T13" i="3"/>
  <c r="U13" i="3" s="1"/>
  <c r="T12" i="3"/>
  <c r="U12" i="3" s="1"/>
  <c r="T11" i="3"/>
  <c r="U11" i="3" s="1"/>
  <c r="T10" i="3"/>
  <c r="U10" i="3" s="1"/>
  <c r="T9" i="3"/>
  <c r="U9" i="3" s="1"/>
  <c r="T8" i="3"/>
  <c r="U8" i="3" s="1"/>
  <c r="T7" i="3"/>
  <c r="U7" i="3" s="1"/>
  <c r="T6" i="3"/>
  <c r="U6" i="3" s="1"/>
  <c r="T5" i="3"/>
  <c r="U5" i="3" s="1"/>
  <c r="T4" i="3"/>
  <c r="U4" i="3" s="1"/>
  <c r="T3" i="3"/>
  <c r="U3" i="3" s="1"/>
  <c r="T2" i="3"/>
  <c r="U2" i="3" s="1"/>
  <c r="V5" i="3" l="1"/>
  <c r="V13" i="3"/>
  <c r="V17" i="3"/>
  <c r="V25" i="3"/>
  <c r="V2" i="3"/>
  <c r="V6" i="3"/>
  <c r="V10" i="3"/>
  <c r="V14" i="3"/>
  <c r="V18" i="3"/>
  <c r="V22" i="3"/>
  <c r="V26" i="3"/>
  <c r="V3" i="3"/>
  <c r="V7" i="3"/>
  <c r="V11" i="3"/>
  <c r="V15" i="3"/>
  <c r="V19" i="3"/>
  <c r="V23" i="3"/>
  <c r="V4" i="3"/>
  <c r="V8" i="3"/>
  <c r="V12" i="3"/>
  <c r="V16" i="3"/>
  <c r="V20" i="3"/>
  <c r="V24" i="3"/>
  <c r="V21" i="3"/>
  <c r="V9" i="3"/>
  <c r="T5" i="1" l="1"/>
  <c r="U5" i="1" s="1"/>
  <c r="W5" i="1" s="1"/>
  <c r="V5" i="1" l="1"/>
</calcChain>
</file>

<file path=xl/sharedStrings.xml><?xml version="1.0" encoding="utf-8"?>
<sst xmlns="http://schemas.openxmlformats.org/spreadsheetml/2006/main" count="317" uniqueCount="95">
  <si>
    <t>ENGLISH</t>
  </si>
  <si>
    <t>SINDHI</t>
  </si>
  <si>
    <t>G.MATHS</t>
  </si>
  <si>
    <t>ISLAMIAT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</si>
  <si>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</si>
  <si>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</si>
  <si>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</si>
  <si>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</si>
  <si>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</si>
  <si>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</si>
  <si>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</si>
  <si>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</si>
  <si>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</si>
  <si>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</si>
  <si>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</si>
  <si>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</si>
  <si>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</si>
  <si>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</si>
  <si>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</si>
  <si>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</si>
  <si>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</si>
  <si>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CHEMISTRY</t>
  </si>
  <si>
    <t>PHYSICS</t>
  </si>
  <si>
    <t>BIOLOGY</t>
  </si>
  <si>
    <t>Chachar</t>
  </si>
  <si>
    <t>Muhammad Hanif</t>
  </si>
  <si>
    <t>Kalwar</t>
  </si>
  <si>
    <t>Ghulam Sarwar</t>
  </si>
  <si>
    <t>Abbasi</t>
  </si>
  <si>
    <t>Israr Ahmed</t>
  </si>
  <si>
    <t>Mubarak</t>
  </si>
  <si>
    <t>Sahto</t>
  </si>
  <si>
    <t>Muhammad Anees</t>
  </si>
  <si>
    <t>Naseer Ahmed</t>
  </si>
  <si>
    <t>Muhammad Awais</t>
  </si>
  <si>
    <t>Muhammad Hassan</t>
  </si>
  <si>
    <t>Muhammad Ibrahim</t>
  </si>
  <si>
    <t>Indhar</t>
  </si>
  <si>
    <t>Muzafar Ali</t>
  </si>
  <si>
    <t>Nazeer Ahmed</t>
  </si>
  <si>
    <t>Dilbar Hussain</t>
  </si>
  <si>
    <t>Gadani</t>
  </si>
  <si>
    <t>Abeeha</t>
  </si>
  <si>
    <t>Sikandra Ali</t>
  </si>
  <si>
    <t>Aliza</t>
  </si>
  <si>
    <t>Muhammad Yaseen</t>
  </si>
  <si>
    <t xml:space="preserve">Aqsa </t>
  </si>
  <si>
    <t>Sanaullah</t>
  </si>
  <si>
    <t>Areeba</t>
  </si>
  <si>
    <t>Bhagyal</t>
  </si>
  <si>
    <t>Mariya</t>
  </si>
  <si>
    <t>Qalandar Bux</t>
  </si>
  <si>
    <t>Sahir Bano</t>
  </si>
  <si>
    <t>Taiyaba</t>
  </si>
  <si>
    <t>Abdul latif</t>
  </si>
  <si>
    <t>Ume Hafsa</t>
  </si>
  <si>
    <t>Muhammad yaseen</t>
  </si>
  <si>
    <t>Zoya</t>
  </si>
  <si>
    <t>Abdul Latif</t>
  </si>
  <si>
    <t>Kainat</t>
  </si>
  <si>
    <t>Barkat Ali</t>
  </si>
  <si>
    <t>Ubedullah</t>
  </si>
  <si>
    <t>Abdul Qayoom</t>
  </si>
  <si>
    <t>Abro</t>
  </si>
  <si>
    <t>Muhammad Faizan</t>
  </si>
  <si>
    <t>Subhan Ali</t>
  </si>
  <si>
    <t>Adil Ali</t>
  </si>
  <si>
    <t>Mukhtiar</t>
  </si>
  <si>
    <t>Sohail</t>
  </si>
  <si>
    <t>Abdul Waheed</t>
  </si>
  <si>
    <t>Shaima</t>
  </si>
  <si>
    <t>Ghulam Mustafa</t>
  </si>
  <si>
    <t>Kousar</t>
  </si>
  <si>
    <t>Imdad Ali</t>
  </si>
  <si>
    <t>Sumaiya</t>
  </si>
  <si>
    <t>Shafique Ahmed</t>
  </si>
  <si>
    <t>Shafqat Ali</t>
  </si>
  <si>
    <t>Sikandar Ali</t>
  </si>
  <si>
    <t>CLASS: NINTH</t>
  </si>
  <si>
    <t>CAST</t>
  </si>
  <si>
    <t>RANK</t>
  </si>
  <si>
    <t>Wakeel Ahmed</t>
  </si>
  <si>
    <t>Wirand</t>
  </si>
  <si>
    <t>A</t>
  </si>
  <si>
    <t>ANNUAL EXAMINATION 2025-2026</t>
  </si>
  <si>
    <t>Jind Wado</t>
  </si>
  <si>
    <t>Dinal Khan</t>
  </si>
  <si>
    <t>Shar</t>
  </si>
  <si>
    <t>Sohail Ahmed</t>
  </si>
  <si>
    <t>Faizan Ali</t>
  </si>
  <si>
    <t>Shema</t>
  </si>
  <si>
    <t>Abdul Shakoor</t>
  </si>
  <si>
    <t>Abia</t>
  </si>
  <si>
    <t>Muhammad Shafique</t>
  </si>
  <si>
    <t>Kausar Nizam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</si>
</sst>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3" xfId="0" applyBorder="1"/>
    <xf numFmtId="0" fontId="0" fillId="0" borderId="3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left" wrapText="1"/>
    </xf>
    <xf numFmtId="0" fontId="0" fillId="0" borderId="3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topLeftCell="A4" zoomScale="80" zoomScaleNormal="80" workbookViewId="0">
      <selection activeCell="Q13" sqref="Q13"/>
    </sheetView>
  </sheetViews>
  <sheetFormatPr defaultRowHeight="15" x14ac:dyDescent="0.25"/>
  <cols>
    <col min="1" max="2" width="4.28515625" customWidth="1"/>
    <col min="3" max="3" width="18.7109375" bestFit="1" customWidth="1"/>
    <col min="4" max="4" width="20.5703125" customWidth="1"/>
    <col min="5" max="5" width="8.140625" bestFit="1" customWidth="1"/>
    <col min="6" max="23" width="4.7109375" customWidth="1"/>
    <col min="24" max="24" width="6" customWidth="1"/>
  </cols>
  <sheetData>
    <row r="1" spans="1:24" ht="21" x14ac:dyDescent="0.35">
      <c r="A1" s="24" t="s">
        <v>18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ht="21" x14ac:dyDescent="0.35">
      <c r="A2" s="25" t="s">
        <v>84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20.25" customHeight="1" x14ac:dyDescent="0.35">
      <c r="A3" s="6"/>
      <c r="B3" s="19"/>
      <c r="C3" s="6"/>
      <c r="D3" s="26" t="s">
        <v>78</v>
      </c>
      <c r="E3" s="26"/>
      <c r="F3" s="26"/>
      <c r="G3" s="26"/>
      <c r="H3" s="2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9"/>
      <c r="U3" s="9"/>
      <c r="V3" s="6"/>
      <c r="W3" s="20"/>
      <c r="X3" s="6"/>
    </row>
    <row r="4" spans="1:24" ht="81.75" customHeight="1" x14ac:dyDescent="0.25">
      <c r="A4" s="8" t="s">
        <v>13</v>
      </c>
      <c r="B4" s="5" t="s">
        <v>14</v>
      </c>
      <c r="C4" s="5" t="s">
        <v>15</v>
      </c>
      <c r="D4" s="3" t="s">
        <v>16</v>
      </c>
      <c r="E4" s="3" t="s">
        <v>79</v>
      </c>
      <c r="F4" s="2" t="s">
        <v>0</v>
      </c>
      <c r="G4" s="2" t="s">
        <v>22</v>
      </c>
      <c r="H4" s="2" t="s">
        <v>2</v>
      </c>
      <c r="I4" s="2" t="s">
        <v>23</v>
      </c>
      <c r="J4" s="2" t="s">
        <v>1</v>
      </c>
      <c r="K4" s="2" t="s">
        <v>21</v>
      </c>
      <c r="L4" s="2" t="s">
        <v>3</v>
      </c>
      <c r="M4" s="2" t="s">
        <v>4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19</v>
      </c>
      <c r="V4" s="2" t="s">
        <v>20</v>
      </c>
      <c r="W4" s="2" t="s">
        <v>80</v>
      </c>
      <c r="X4" s="2" t="s">
        <v>12</v>
      </c>
    </row>
    <row r="5" spans="1:24" ht="22.5" customHeight="1" x14ac:dyDescent="0.25">
      <c r="A5" s="7">
        <v>1</v>
      </c>
      <c r="B5" s="22">
        <v>901</v>
      </c>
      <c r="C5" s="16" t="s">
        <v>61</v>
      </c>
      <c r="D5" s="16" t="s">
        <v>62</v>
      </c>
      <c r="E5" s="15" t="s">
        <v>63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f>SUM(F5:S5)</f>
        <v>0</v>
      </c>
      <c r="U5" s="1">
        <f>SUM(T5/725*100)</f>
        <v>0</v>
      </c>
      <c r="V5" s="1" t="str">
        <f>IF(U5&gt;79.99,"A1",IF(U5&gt;69.99,"A",IF(U5&gt;59.99,"B",IF(U5&gt;49.99,"C",IF(U5&gt;39.99,"D",IF(U5&gt;32.99,"E","FAIL"))))))</f>
        <v>FAIL</v>
      </c>
      <c r="W5" s="1">
        <f>RANK(U5,U$5:U19)</f>
        <v>1</v>
      </c>
      <c r="X5" s="1"/>
    </row>
    <row r="6" spans="1:24" ht="22.5" customHeight="1" x14ac:dyDescent="0.25">
      <c r="A6" s="7">
        <v>2</v>
      </c>
      <c r="B6" s="18">
        <v>902</v>
      </c>
      <c r="C6" s="17" t="s">
        <v>29</v>
      </c>
      <c r="D6" s="17" t="s">
        <v>30</v>
      </c>
      <c r="E6" s="1" t="s">
        <v>31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2.5" customHeight="1" x14ac:dyDescent="0.25">
      <c r="A7" s="7">
        <v>3</v>
      </c>
      <c r="B7" s="22">
        <v>903</v>
      </c>
      <c r="C7" s="17" t="s">
        <v>32</v>
      </c>
      <c r="D7" s="17" t="s">
        <v>33</v>
      </c>
      <c r="E7" s="1" t="s">
        <v>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5">
      <c r="A8" s="7">
        <v>4</v>
      </c>
      <c r="B8" s="18">
        <v>904</v>
      </c>
      <c r="C8" s="17" t="s">
        <v>34</v>
      </c>
      <c r="D8" s="17" t="s">
        <v>33</v>
      </c>
      <c r="E8" s="1" t="s">
        <v>26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2.5" customHeight="1" x14ac:dyDescent="0.25">
      <c r="A9" s="7">
        <v>5</v>
      </c>
      <c r="B9" s="22">
        <v>905</v>
      </c>
      <c r="C9" s="17" t="s">
        <v>35</v>
      </c>
      <c r="D9" s="17" t="s">
        <v>36</v>
      </c>
      <c r="E9" s="1" t="s">
        <v>37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2.5" customHeight="1" x14ac:dyDescent="0.25">
      <c r="A10" s="7">
        <v>6</v>
      </c>
      <c r="B10" s="18">
        <v>906</v>
      </c>
      <c r="C10" s="17" t="s">
        <v>38</v>
      </c>
      <c r="D10" s="17" t="s">
        <v>25</v>
      </c>
      <c r="E10" s="1" t="s">
        <v>26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2.5" customHeight="1" x14ac:dyDescent="0.25">
      <c r="A11" s="7">
        <v>7</v>
      </c>
      <c r="B11" s="22">
        <v>907</v>
      </c>
      <c r="C11" s="17" t="s">
        <v>39</v>
      </c>
      <c r="D11" s="17" t="s">
        <v>40</v>
      </c>
      <c r="E11" s="1" t="s">
        <v>41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2.5" customHeight="1" x14ac:dyDescent="0.25">
      <c r="A12" s="7">
        <v>8</v>
      </c>
      <c r="B12" s="18">
        <v>908</v>
      </c>
      <c r="C12" s="17" t="s">
        <v>85</v>
      </c>
      <c r="D12" s="17" t="s">
        <v>86</v>
      </c>
      <c r="E12" s="1" t="s">
        <v>87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2.5" customHeight="1" x14ac:dyDescent="0.25">
      <c r="A13" s="7">
        <v>9</v>
      </c>
      <c r="B13" s="22">
        <v>909</v>
      </c>
      <c r="C13" s="17" t="s">
        <v>76</v>
      </c>
      <c r="D13" s="17" t="s">
        <v>43</v>
      </c>
      <c r="E13" s="1" t="s">
        <v>24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2.5" customHeight="1" x14ac:dyDescent="0.25">
      <c r="A14" s="7">
        <v>10</v>
      </c>
      <c r="B14" s="18">
        <v>910</v>
      </c>
      <c r="C14" s="17" t="s">
        <v>88</v>
      </c>
      <c r="D14" s="17" t="s">
        <v>69</v>
      </c>
      <c r="E14" s="1" t="s">
        <v>24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2.5" customHeight="1" x14ac:dyDescent="0.25">
      <c r="A15" s="7">
        <v>11</v>
      </c>
      <c r="B15" s="22">
        <v>911</v>
      </c>
      <c r="C15" s="17" t="s">
        <v>81</v>
      </c>
      <c r="D15" s="17" t="s">
        <v>36</v>
      </c>
      <c r="E15" s="1" t="s">
        <v>82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2.5" customHeight="1" x14ac:dyDescent="0.25">
      <c r="A16" s="7">
        <v>12</v>
      </c>
      <c r="B16" s="22">
        <v>912</v>
      </c>
      <c r="C16" s="17" t="s">
        <v>89</v>
      </c>
      <c r="D16" s="17" t="s">
        <v>65</v>
      </c>
      <c r="E16" s="1" t="s">
        <v>26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2.5" customHeight="1" x14ac:dyDescent="0.25">
      <c r="A17" s="7">
        <v>13</v>
      </c>
      <c r="B17" s="18">
        <v>951</v>
      </c>
      <c r="C17" s="17" t="s">
        <v>48</v>
      </c>
      <c r="D17" s="17" t="s">
        <v>49</v>
      </c>
      <c r="E17" s="1" t="s">
        <v>28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2.5" customHeight="1" x14ac:dyDescent="0.25">
      <c r="A18" s="7">
        <v>14</v>
      </c>
      <c r="B18" s="18">
        <v>952</v>
      </c>
      <c r="C18" s="17" t="s">
        <v>90</v>
      </c>
      <c r="D18" s="17" t="s">
        <v>71</v>
      </c>
      <c r="E18" s="1" t="s">
        <v>26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2.5" customHeight="1" x14ac:dyDescent="0.25">
      <c r="A19" s="7">
        <v>15</v>
      </c>
      <c r="B19" s="18">
        <v>953</v>
      </c>
      <c r="C19" s="17" t="s">
        <v>50</v>
      </c>
      <c r="D19" s="17" t="s">
        <v>51</v>
      </c>
      <c r="E19" s="1" t="s">
        <v>24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</sheetData>
  <mergeCells count="4">
    <mergeCell ref="A1:X1"/>
    <mergeCell ref="A2:X2"/>
    <mergeCell ref="D3:E3"/>
    <mergeCell ref="F3:H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18"/>
  <sheetViews>
    <sheetView tabSelected="1" zoomScaleNormal="100" workbookViewId="0">
      <selection activeCell="D16" sqref="D16"/>
    </sheetView>
  </sheetViews>
  <sheetFormatPr defaultRowHeight="15" x14ac:dyDescent="0.25"/>
  <cols>
    <col min="1" max="1" width="5.42578125" bestFit="1" customWidth="1"/>
    <col min="2" max="2" width="5.42578125" customWidth="1"/>
    <col min="3" max="3" width="19.28515625" customWidth="1"/>
    <col min="4" max="4" width="22.5703125" customWidth="1"/>
    <col min="5" max="5" width="8" bestFit="1" customWidth="1"/>
    <col min="6" max="23" width="4.7109375" customWidth="1"/>
  </cols>
  <sheetData>
    <row r="3" spans="1:23" s="10" customFormat="1" ht="100.5" customHeight="1" x14ac:dyDescent="0.25">
      <c r="A3" s="11" t="s">
        <v>13</v>
      </c>
      <c r="B3" s="12" t="s">
        <v>14</v>
      </c>
      <c r="C3" s="13" t="s">
        <v>15</v>
      </c>
      <c r="D3" s="13" t="s">
        <v>16</v>
      </c>
      <c r="E3" s="13" t="s">
        <v>17</v>
      </c>
      <c r="F3" s="14" t="s">
        <v>0</v>
      </c>
      <c r="G3" s="14" t="s">
        <v>22</v>
      </c>
      <c r="H3" s="14" t="s">
        <v>2</v>
      </c>
      <c r="I3" s="14" t="s">
        <v>23</v>
      </c>
      <c r="J3" s="14" t="s">
        <v>1</v>
      </c>
      <c r="K3" s="14" t="s">
        <v>21</v>
      </c>
      <c r="L3" s="14" t="s">
        <v>3</v>
      </c>
      <c r="M3" s="14" t="s">
        <v>4</v>
      </c>
      <c r="N3" s="14" t="s">
        <v>5</v>
      </c>
      <c r="O3" s="14" t="s">
        <v>6</v>
      </c>
      <c r="P3" s="14" t="s">
        <v>7</v>
      </c>
      <c r="Q3" s="14" t="s">
        <v>8</v>
      </c>
      <c r="R3" s="14" t="s">
        <v>9</v>
      </c>
      <c r="S3" s="14" t="s">
        <v>10</v>
      </c>
      <c r="T3" s="14" t="s">
        <v>11</v>
      </c>
      <c r="U3" s="14" t="s">
        <v>19</v>
      </c>
      <c r="V3" s="14" t="s">
        <v>20</v>
      </c>
      <c r="W3" s="14" t="s">
        <v>12</v>
      </c>
    </row>
    <row r="4" spans="1:23" ht="23.1" customHeight="1" x14ac:dyDescent="0.25">
      <c r="A4" s="7">
        <v>16</v>
      </c>
      <c r="B4" s="18">
        <v>954</v>
      </c>
      <c r="C4" s="17" t="s">
        <v>52</v>
      </c>
      <c r="D4" s="17" t="s">
        <v>27</v>
      </c>
      <c r="E4" s="1" t="s">
        <v>26</v>
      </c>
      <c r="F4" s="2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3.1" customHeight="1" x14ac:dyDescent="0.25">
      <c r="A5" s="7">
        <v>17</v>
      </c>
      <c r="B5" s="18">
        <v>955</v>
      </c>
      <c r="C5" s="17" t="s">
        <v>53</v>
      </c>
      <c r="D5" s="17" t="s">
        <v>54</v>
      </c>
      <c r="E5" s="1" t="s">
        <v>26</v>
      </c>
      <c r="F5" s="2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3.1" customHeight="1" x14ac:dyDescent="0.25">
      <c r="A6" s="7">
        <v>18</v>
      </c>
      <c r="B6" s="18">
        <v>956</v>
      </c>
      <c r="C6" s="17" t="s">
        <v>55</v>
      </c>
      <c r="D6" s="17" t="s">
        <v>56</v>
      </c>
      <c r="E6" s="1" t="s">
        <v>26</v>
      </c>
      <c r="F6" s="2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3.1" customHeight="1" x14ac:dyDescent="0.25">
      <c r="A7" s="7">
        <v>19</v>
      </c>
      <c r="B7" s="18">
        <v>957</v>
      </c>
      <c r="C7" s="17" t="s">
        <v>57</v>
      </c>
      <c r="D7" s="17" t="s">
        <v>91</v>
      </c>
      <c r="E7" s="1" t="s">
        <v>26</v>
      </c>
      <c r="F7" s="2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3.1" customHeight="1" x14ac:dyDescent="0.25">
      <c r="A8" s="7">
        <v>20</v>
      </c>
      <c r="B8" s="18">
        <v>958</v>
      </c>
      <c r="C8" s="17" t="s">
        <v>59</v>
      </c>
      <c r="D8" s="17" t="s">
        <v>60</v>
      </c>
      <c r="E8" s="1" t="s">
        <v>24</v>
      </c>
      <c r="F8" s="2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3.1" customHeight="1" x14ac:dyDescent="0.25">
      <c r="A9" s="7">
        <v>21</v>
      </c>
      <c r="B9" s="18">
        <v>959</v>
      </c>
      <c r="C9" s="17" t="s">
        <v>92</v>
      </c>
      <c r="D9" s="17" t="s">
        <v>77</v>
      </c>
      <c r="E9" s="1" t="s">
        <v>26</v>
      </c>
      <c r="F9" s="2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3.1" customHeight="1" x14ac:dyDescent="0.25">
      <c r="A10" s="7">
        <v>22</v>
      </c>
      <c r="B10" s="18">
        <v>960</v>
      </c>
      <c r="C10" s="17" t="s">
        <v>44</v>
      </c>
      <c r="D10" s="17" t="s">
        <v>45</v>
      </c>
      <c r="E10" s="1" t="s">
        <v>26</v>
      </c>
      <c r="F10" s="2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3.1" customHeight="1" x14ac:dyDescent="0.25">
      <c r="A11" s="7">
        <v>23</v>
      </c>
      <c r="B11" s="18">
        <v>961</v>
      </c>
      <c r="C11" s="17" t="s">
        <v>46</v>
      </c>
      <c r="D11" s="17" t="s">
        <v>47</v>
      </c>
      <c r="E11" s="1" t="s">
        <v>26</v>
      </c>
      <c r="F11" s="2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3.1" customHeight="1" x14ac:dyDescent="0.25">
      <c r="A12" s="7">
        <v>24</v>
      </c>
      <c r="B12" s="18">
        <v>962</v>
      </c>
      <c r="C12" s="17" t="s">
        <v>74</v>
      </c>
      <c r="D12" s="17" t="s">
        <v>93</v>
      </c>
      <c r="E12" s="1" t="s">
        <v>26</v>
      </c>
      <c r="F12" s="2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3.1" customHeight="1" x14ac:dyDescent="0.25">
      <c r="A13" s="7">
        <v>25</v>
      </c>
      <c r="B13" s="18">
        <v>963</v>
      </c>
      <c r="C13" s="17" t="s">
        <v>94</v>
      </c>
      <c r="D13" s="17" t="s">
        <v>73</v>
      </c>
      <c r="E13" s="1" t="s">
        <v>26</v>
      </c>
      <c r="F13" s="2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3.1" customHeight="1" x14ac:dyDescent="0.25">
      <c r="A14" s="7">
        <v>26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3.1" customHeight="1" x14ac:dyDescent="0.25">
      <c r="A15" s="7">
        <v>27</v>
      </c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3.1" customHeight="1" x14ac:dyDescent="0.25">
      <c r="A16" s="7">
        <v>28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3.1" customHeight="1" x14ac:dyDescent="0.25">
      <c r="A17" s="7">
        <v>29</v>
      </c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3.1" customHeight="1" x14ac:dyDescent="0.25">
      <c r="A18" s="7">
        <v>30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topLeftCell="F1" workbookViewId="0">
      <selection activeCell="W2" sqref="W2:W26"/>
    </sheetView>
  </sheetViews>
  <sheetFormatPr defaultRowHeight="15" x14ac:dyDescent="0.25"/>
  <cols>
    <col min="21" max="21" width="5.42578125" customWidth="1"/>
    <col min="22" max="22" width="8.85546875" customWidth="1"/>
  </cols>
  <sheetData>
    <row r="1" spans="1:24" ht="50.25" x14ac:dyDescent="0.25">
      <c r="A1" s="8" t="s">
        <v>13</v>
      </c>
      <c r="B1" s="5" t="s">
        <v>14</v>
      </c>
      <c r="C1" s="5" t="s">
        <v>15</v>
      </c>
      <c r="D1" s="3" t="s">
        <v>16</v>
      </c>
      <c r="E1" s="3" t="s">
        <v>79</v>
      </c>
      <c r="F1" s="2" t="s">
        <v>0</v>
      </c>
      <c r="G1" s="2" t="s">
        <v>22</v>
      </c>
      <c r="H1" s="2" t="s">
        <v>2</v>
      </c>
      <c r="I1" s="2" t="s">
        <v>23</v>
      </c>
      <c r="J1" s="2" t="s">
        <v>1</v>
      </c>
      <c r="K1" s="2" t="s">
        <v>21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19</v>
      </c>
      <c r="V1" s="2" t="s">
        <v>20</v>
      </c>
      <c r="W1" s="2" t="s">
        <v>80</v>
      </c>
      <c r="X1" s="2" t="s">
        <v>12</v>
      </c>
    </row>
    <row r="2" spans="1:24" x14ac:dyDescent="0.25">
      <c r="A2" s="7">
        <v>1</v>
      </c>
      <c r="B2" s="21">
        <v>901</v>
      </c>
      <c r="C2" s="16" t="s">
        <v>61</v>
      </c>
      <c r="D2" s="16" t="s">
        <v>62</v>
      </c>
      <c r="E2" s="15" t="s">
        <v>63</v>
      </c>
      <c r="F2" s="1">
        <v>55</v>
      </c>
      <c r="G2" s="1">
        <v>56</v>
      </c>
      <c r="H2" s="1">
        <v>50</v>
      </c>
      <c r="I2" s="1">
        <v>71</v>
      </c>
      <c r="J2" s="1">
        <v>65</v>
      </c>
      <c r="K2" s="1">
        <v>45</v>
      </c>
      <c r="L2" s="1">
        <v>50</v>
      </c>
      <c r="M2" s="1">
        <v>49</v>
      </c>
      <c r="N2" s="1">
        <v>18</v>
      </c>
      <c r="O2" s="1">
        <v>18</v>
      </c>
      <c r="P2" s="1">
        <v>8</v>
      </c>
      <c r="Q2" s="1">
        <v>8</v>
      </c>
      <c r="R2" s="1">
        <v>17</v>
      </c>
      <c r="S2" s="1">
        <v>16</v>
      </c>
      <c r="T2" s="1">
        <f>SUM(F2:S2)</f>
        <v>526</v>
      </c>
      <c r="U2" s="1">
        <f>SUM(T2/725*100)</f>
        <v>72.551724137931046</v>
      </c>
      <c r="V2" s="1" t="str">
        <f>IF(U2&gt;79.99,"A1",IF(U2&gt;69.99,"A",IF(U2&gt;59.99,"B",IF(U2&gt;49.99,"C",IF(U2&gt;39.99,"D",IF(U2&gt;32.99,"E","FAIL"))))))</f>
        <v>A</v>
      </c>
      <c r="W2" s="1">
        <f>RANK(U2,U$2:U26)</f>
        <v>3</v>
      </c>
      <c r="X2" s="1"/>
    </row>
    <row r="3" spans="1:24" x14ac:dyDescent="0.25">
      <c r="A3" s="7">
        <v>2</v>
      </c>
      <c r="B3" s="7">
        <v>902</v>
      </c>
      <c r="C3" s="17" t="s">
        <v>29</v>
      </c>
      <c r="D3" s="17" t="s">
        <v>30</v>
      </c>
      <c r="E3" s="1" t="s">
        <v>31</v>
      </c>
      <c r="F3" s="1">
        <v>25</v>
      </c>
      <c r="G3" s="1">
        <v>27</v>
      </c>
      <c r="H3" s="1">
        <v>25</v>
      </c>
      <c r="I3" s="1">
        <v>25</v>
      </c>
      <c r="J3" s="1">
        <v>35</v>
      </c>
      <c r="K3" s="1">
        <v>27</v>
      </c>
      <c r="L3" s="1">
        <v>30</v>
      </c>
      <c r="M3" s="1"/>
      <c r="N3" s="1">
        <v>16</v>
      </c>
      <c r="O3" s="1">
        <v>12</v>
      </c>
      <c r="P3" s="1">
        <v>7</v>
      </c>
      <c r="Q3" s="1">
        <v>5</v>
      </c>
      <c r="R3" s="1">
        <v>10</v>
      </c>
      <c r="S3" s="1">
        <v>14</v>
      </c>
      <c r="T3" s="1">
        <f t="shared" ref="T3:T26" si="0">SUM(F3:S3)</f>
        <v>258</v>
      </c>
      <c r="U3" s="1">
        <f t="shared" ref="U3:U26" si="1">SUM(T3/725*100)</f>
        <v>35.586206896551722</v>
      </c>
      <c r="V3" s="1" t="str">
        <f t="shared" ref="V3:V26" si="2">IF(U3&gt;79.99,"A1",IF(U3&gt;69.99,"A",IF(U3&gt;59.99,"B",IF(U3&gt;49.99,"C",IF(U3&gt;39.99,"D",IF(U3&gt;32.99,"E","FAIL"))))))</f>
        <v>E</v>
      </c>
      <c r="W3" s="1">
        <f>RANK(U3,U$2:U27)</f>
        <v>16</v>
      </c>
      <c r="X3" s="1"/>
    </row>
    <row r="4" spans="1:24" x14ac:dyDescent="0.25">
      <c r="A4" s="7">
        <v>3</v>
      </c>
      <c r="B4" s="21">
        <v>903</v>
      </c>
      <c r="C4" s="17" t="s">
        <v>32</v>
      </c>
      <c r="D4" s="17" t="s">
        <v>33</v>
      </c>
      <c r="E4" s="1" t="s">
        <v>26</v>
      </c>
      <c r="F4" s="1">
        <v>30</v>
      </c>
      <c r="G4" s="1">
        <v>35</v>
      </c>
      <c r="H4" s="1">
        <v>33</v>
      </c>
      <c r="I4" s="1">
        <v>48</v>
      </c>
      <c r="J4" s="1">
        <v>55</v>
      </c>
      <c r="K4" s="1">
        <v>30</v>
      </c>
      <c r="L4" s="1">
        <v>40</v>
      </c>
      <c r="M4" s="1">
        <v>40</v>
      </c>
      <c r="N4" s="1">
        <v>16</v>
      </c>
      <c r="O4" s="1">
        <v>11</v>
      </c>
      <c r="P4" s="1">
        <v>7</v>
      </c>
      <c r="Q4" s="1">
        <v>8</v>
      </c>
      <c r="R4" s="1">
        <v>15</v>
      </c>
      <c r="S4" s="1">
        <v>14</v>
      </c>
      <c r="T4" s="1">
        <f t="shared" si="0"/>
        <v>382</v>
      </c>
      <c r="U4" s="1">
        <f t="shared" si="1"/>
        <v>52.689655172413794</v>
      </c>
      <c r="V4" s="1" t="str">
        <f t="shared" si="2"/>
        <v>C</v>
      </c>
      <c r="W4" s="1">
        <f>RANK(U4,U$2:U28)</f>
        <v>10</v>
      </c>
      <c r="X4" s="1"/>
    </row>
    <row r="5" spans="1:24" x14ac:dyDescent="0.25">
      <c r="A5" s="7">
        <v>4</v>
      </c>
      <c r="B5" s="7">
        <v>904</v>
      </c>
      <c r="C5" s="17" t="s">
        <v>34</v>
      </c>
      <c r="D5" s="17" t="s">
        <v>33</v>
      </c>
      <c r="E5" s="1" t="s">
        <v>26</v>
      </c>
      <c r="F5" s="1">
        <v>35</v>
      </c>
      <c r="G5" s="1">
        <v>32</v>
      </c>
      <c r="H5" s="1">
        <v>31</v>
      </c>
      <c r="I5" s="1">
        <v>46</v>
      </c>
      <c r="J5" s="1">
        <v>50</v>
      </c>
      <c r="K5" s="1">
        <v>32</v>
      </c>
      <c r="L5" s="1">
        <v>35</v>
      </c>
      <c r="M5" s="1">
        <v>39</v>
      </c>
      <c r="N5" s="1">
        <v>17</v>
      </c>
      <c r="O5" s="1">
        <v>12</v>
      </c>
      <c r="P5" s="1">
        <v>9</v>
      </c>
      <c r="Q5" s="1">
        <v>9</v>
      </c>
      <c r="R5" s="1">
        <v>16</v>
      </c>
      <c r="S5" s="1">
        <v>17</v>
      </c>
      <c r="T5" s="1">
        <f t="shared" si="0"/>
        <v>380</v>
      </c>
      <c r="U5" s="1">
        <f t="shared" si="1"/>
        <v>52.413793103448278</v>
      </c>
      <c r="V5" s="1" t="str">
        <f t="shared" si="2"/>
        <v>C</v>
      </c>
      <c r="W5" s="1">
        <f>RANK(U5,U$2:U29)</f>
        <v>11</v>
      </c>
      <c r="X5" s="1"/>
    </row>
    <row r="6" spans="1:24" x14ac:dyDescent="0.25">
      <c r="A6" s="7">
        <v>5</v>
      </c>
      <c r="B6" s="21">
        <v>905</v>
      </c>
      <c r="C6" s="17" t="s">
        <v>35</v>
      </c>
      <c r="D6" s="17" t="s">
        <v>36</v>
      </c>
      <c r="E6" s="1" t="s">
        <v>37</v>
      </c>
      <c r="F6" s="1">
        <v>40</v>
      </c>
      <c r="G6" s="1">
        <v>30</v>
      </c>
      <c r="H6" s="1">
        <v>26</v>
      </c>
      <c r="I6" s="1">
        <v>40</v>
      </c>
      <c r="J6" s="1">
        <v>52</v>
      </c>
      <c r="K6" s="1">
        <v>30</v>
      </c>
      <c r="L6" s="1">
        <v>42</v>
      </c>
      <c r="M6" s="1" t="s">
        <v>83</v>
      </c>
      <c r="N6" s="1">
        <v>18</v>
      </c>
      <c r="O6" s="1">
        <v>16</v>
      </c>
      <c r="P6" s="1">
        <v>8</v>
      </c>
      <c r="Q6" s="1">
        <v>8</v>
      </c>
      <c r="R6" s="1">
        <v>14</v>
      </c>
      <c r="S6" s="1">
        <v>14</v>
      </c>
      <c r="T6" s="1">
        <f t="shared" si="0"/>
        <v>338</v>
      </c>
      <c r="U6" s="1">
        <f t="shared" si="1"/>
        <v>46.620689655172413</v>
      </c>
      <c r="V6" s="1" t="str">
        <f t="shared" si="2"/>
        <v>D</v>
      </c>
      <c r="W6" s="1">
        <f>RANK(U6,U$2:U30)</f>
        <v>13</v>
      </c>
      <c r="X6" s="1"/>
    </row>
    <row r="7" spans="1:24" x14ac:dyDescent="0.25">
      <c r="A7" s="7">
        <v>6</v>
      </c>
      <c r="B7" s="7">
        <v>906</v>
      </c>
      <c r="C7" s="17" t="s">
        <v>38</v>
      </c>
      <c r="D7" s="17" t="s">
        <v>25</v>
      </c>
      <c r="E7" s="1" t="s">
        <v>26</v>
      </c>
      <c r="F7" s="1" t="s">
        <v>83</v>
      </c>
      <c r="G7" s="1" t="s">
        <v>83</v>
      </c>
      <c r="H7" s="1" t="s">
        <v>83</v>
      </c>
      <c r="I7" s="1" t="s">
        <v>83</v>
      </c>
      <c r="J7" s="1" t="s">
        <v>83</v>
      </c>
      <c r="K7" s="1" t="s">
        <v>83</v>
      </c>
      <c r="L7" s="1" t="s">
        <v>83</v>
      </c>
      <c r="M7" s="1" t="s">
        <v>83</v>
      </c>
      <c r="N7" s="1">
        <v>16</v>
      </c>
      <c r="O7" s="1">
        <v>14</v>
      </c>
      <c r="P7" s="1">
        <v>7</v>
      </c>
      <c r="Q7" s="1">
        <v>6</v>
      </c>
      <c r="R7" s="1">
        <v>12</v>
      </c>
      <c r="S7" s="1">
        <v>10</v>
      </c>
      <c r="T7" s="1">
        <f t="shared" si="0"/>
        <v>65</v>
      </c>
      <c r="U7" s="1">
        <f t="shared" si="1"/>
        <v>8.9655172413793096</v>
      </c>
      <c r="V7" s="1" t="str">
        <f t="shared" si="2"/>
        <v>FAIL</v>
      </c>
      <c r="W7" s="1">
        <f>RANK(U7,U$2:U31)</f>
        <v>19</v>
      </c>
      <c r="X7" s="1"/>
    </row>
    <row r="8" spans="1:24" x14ac:dyDescent="0.25">
      <c r="A8" s="7">
        <v>7</v>
      </c>
      <c r="B8" s="21">
        <v>907</v>
      </c>
      <c r="C8" s="17" t="s">
        <v>39</v>
      </c>
      <c r="D8" s="17" t="s">
        <v>40</v>
      </c>
      <c r="E8" s="1" t="s">
        <v>41</v>
      </c>
      <c r="F8" s="1">
        <v>43</v>
      </c>
      <c r="G8" s="1">
        <v>50</v>
      </c>
      <c r="H8" s="1">
        <v>64</v>
      </c>
      <c r="I8" s="1">
        <v>52</v>
      </c>
      <c r="J8" s="1">
        <v>58</v>
      </c>
      <c r="K8" s="1">
        <v>40</v>
      </c>
      <c r="L8" s="1">
        <v>50</v>
      </c>
      <c r="M8" s="1">
        <v>47</v>
      </c>
      <c r="N8" s="1">
        <v>10</v>
      </c>
      <c r="O8" s="1">
        <v>12</v>
      </c>
      <c r="P8" s="1">
        <v>6</v>
      </c>
      <c r="Q8" s="1">
        <v>7</v>
      </c>
      <c r="R8" s="1">
        <v>15</v>
      </c>
      <c r="S8" s="1">
        <v>18</v>
      </c>
      <c r="T8" s="1">
        <f t="shared" si="0"/>
        <v>472</v>
      </c>
      <c r="U8" s="1">
        <f t="shared" si="1"/>
        <v>65.103448275862064</v>
      </c>
      <c r="V8" s="1" t="str">
        <f t="shared" si="2"/>
        <v>B</v>
      </c>
      <c r="W8" s="1">
        <f>RANK(U8,U$2:U32)</f>
        <v>5</v>
      </c>
      <c r="X8" s="1"/>
    </row>
    <row r="9" spans="1:24" x14ac:dyDescent="0.25">
      <c r="A9" s="7">
        <v>8</v>
      </c>
      <c r="B9" s="7">
        <v>908</v>
      </c>
      <c r="C9" s="17" t="s">
        <v>64</v>
      </c>
      <c r="D9" s="17" t="s">
        <v>65</v>
      </c>
      <c r="E9" s="1" t="s">
        <v>26</v>
      </c>
      <c r="F9" s="1" t="s">
        <v>83</v>
      </c>
      <c r="G9" s="1" t="s">
        <v>83</v>
      </c>
      <c r="H9" s="1" t="s">
        <v>83</v>
      </c>
      <c r="I9" s="1" t="s">
        <v>83</v>
      </c>
      <c r="J9" s="1" t="s">
        <v>83</v>
      </c>
      <c r="K9" s="1" t="s">
        <v>83</v>
      </c>
      <c r="L9" s="1" t="s">
        <v>83</v>
      </c>
      <c r="M9" s="1" t="s">
        <v>83</v>
      </c>
      <c r="N9" s="1" t="s">
        <v>83</v>
      </c>
      <c r="O9" s="1" t="s">
        <v>83</v>
      </c>
      <c r="P9" s="1" t="s">
        <v>83</v>
      </c>
      <c r="Q9" s="1" t="s">
        <v>83</v>
      </c>
      <c r="R9" s="1" t="s">
        <v>83</v>
      </c>
      <c r="S9" s="1" t="s">
        <v>83</v>
      </c>
      <c r="T9" s="1">
        <f t="shared" si="0"/>
        <v>0</v>
      </c>
      <c r="U9" s="1">
        <f t="shared" si="1"/>
        <v>0</v>
      </c>
      <c r="V9" s="1" t="str">
        <f t="shared" si="2"/>
        <v>FAIL</v>
      </c>
      <c r="W9" s="1">
        <f>RANK(U9,U$2:U33)</f>
        <v>20</v>
      </c>
      <c r="X9" s="1"/>
    </row>
    <row r="10" spans="1:24" x14ac:dyDescent="0.25">
      <c r="A10" s="7">
        <v>9</v>
      </c>
      <c r="B10" s="21">
        <v>909</v>
      </c>
      <c r="C10" s="17" t="s">
        <v>66</v>
      </c>
      <c r="D10" s="17" t="s">
        <v>67</v>
      </c>
      <c r="E10" s="1" t="s">
        <v>26</v>
      </c>
      <c r="F10" s="1" t="s">
        <v>83</v>
      </c>
      <c r="G10" s="1" t="s">
        <v>83</v>
      </c>
      <c r="H10" s="1" t="s">
        <v>83</v>
      </c>
      <c r="I10" s="1" t="s">
        <v>83</v>
      </c>
      <c r="J10" s="1" t="s">
        <v>83</v>
      </c>
      <c r="K10" s="1" t="s">
        <v>83</v>
      </c>
      <c r="L10" s="1" t="s">
        <v>83</v>
      </c>
      <c r="M10" s="1" t="s">
        <v>83</v>
      </c>
      <c r="N10" s="1" t="s">
        <v>83</v>
      </c>
      <c r="O10" s="1" t="s">
        <v>83</v>
      </c>
      <c r="P10" s="1" t="s">
        <v>83</v>
      </c>
      <c r="Q10" s="1" t="s">
        <v>83</v>
      </c>
      <c r="R10" s="1" t="s">
        <v>83</v>
      </c>
      <c r="S10" s="1" t="s">
        <v>83</v>
      </c>
      <c r="T10" s="1">
        <f t="shared" si="0"/>
        <v>0</v>
      </c>
      <c r="U10" s="1">
        <f t="shared" si="1"/>
        <v>0</v>
      </c>
      <c r="V10" s="1" t="str">
        <f t="shared" si="2"/>
        <v>FAIL</v>
      </c>
      <c r="W10" s="1">
        <f>RANK(U10,U$2:U34)</f>
        <v>20</v>
      </c>
      <c r="X10" s="1"/>
    </row>
    <row r="11" spans="1:24" x14ac:dyDescent="0.25">
      <c r="A11" s="7">
        <v>10</v>
      </c>
      <c r="B11" s="7">
        <v>910</v>
      </c>
      <c r="C11" s="17" t="s">
        <v>68</v>
      </c>
      <c r="D11" s="17" t="s">
        <v>69</v>
      </c>
      <c r="E11" s="1" t="s">
        <v>24</v>
      </c>
      <c r="F11" s="1">
        <v>25</v>
      </c>
      <c r="G11" s="1">
        <v>27</v>
      </c>
      <c r="H11" s="1">
        <v>25</v>
      </c>
      <c r="I11" s="1">
        <v>29</v>
      </c>
      <c r="J11" s="1">
        <v>40</v>
      </c>
      <c r="K11" s="1">
        <v>27</v>
      </c>
      <c r="L11" s="1">
        <v>27</v>
      </c>
      <c r="M11" s="1" t="s">
        <v>83</v>
      </c>
      <c r="N11" s="1">
        <v>10</v>
      </c>
      <c r="O11" s="1">
        <v>10</v>
      </c>
      <c r="P11" s="1">
        <v>5</v>
      </c>
      <c r="Q11" s="1">
        <v>5</v>
      </c>
      <c r="R11" s="1">
        <v>10</v>
      </c>
      <c r="S11" s="1">
        <v>10</v>
      </c>
      <c r="T11" s="1">
        <f t="shared" si="0"/>
        <v>250</v>
      </c>
      <c r="U11" s="1">
        <f t="shared" si="1"/>
        <v>34.482758620689658</v>
      </c>
      <c r="V11" s="1" t="str">
        <f t="shared" si="2"/>
        <v>E</v>
      </c>
      <c r="W11" s="1">
        <f>RANK(U11,U$2:U35)</f>
        <v>18</v>
      </c>
      <c r="X11" s="1"/>
    </row>
    <row r="12" spans="1:24" ht="30" x14ac:dyDescent="0.25">
      <c r="A12" s="7">
        <v>11</v>
      </c>
      <c r="B12" s="21">
        <v>911</v>
      </c>
      <c r="C12" s="18" t="s">
        <v>76</v>
      </c>
      <c r="D12" s="17" t="s">
        <v>77</v>
      </c>
      <c r="E12" s="17" t="s">
        <v>24</v>
      </c>
      <c r="F12" s="1">
        <v>46</v>
      </c>
      <c r="G12" s="1">
        <v>30</v>
      </c>
      <c r="H12" s="1">
        <v>29</v>
      </c>
      <c r="I12" s="1">
        <v>34</v>
      </c>
      <c r="J12" s="1">
        <v>27</v>
      </c>
      <c r="K12" s="1">
        <v>27</v>
      </c>
      <c r="L12" s="1">
        <v>30</v>
      </c>
      <c r="M12" s="1">
        <v>35</v>
      </c>
      <c r="N12" s="1">
        <v>11</v>
      </c>
      <c r="O12" s="1">
        <v>14</v>
      </c>
      <c r="P12" s="1">
        <v>5</v>
      </c>
      <c r="Q12" s="1">
        <v>4</v>
      </c>
      <c r="R12" s="1">
        <v>14</v>
      </c>
      <c r="S12" s="1">
        <v>11</v>
      </c>
      <c r="T12" s="1">
        <f t="shared" si="0"/>
        <v>317</v>
      </c>
      <c r="U12" s="1">
        <f t="shared" si="1"/>
        <v>43.724137931034484</v>
      </c>
      <c r="V12" s="1" t="str">
        <f t="shared" si="2"/>
        <v>D</v>
      </c>
      <c r="W12" s="1">
        <f>RANK(U12,U$2:U36)</f>
        <v>14</v>
      </c>
      <c r="X12" s="1"/>
    </row>
    <row r="13" spans="1:24" x14ac:dyDescent="0.25">
      <c r="A13" s="7">
        <v>12</v>
      </c>
      <c r="B13" s="7">
        <v>951</v>
      </c>
      <c r="C13" s="17" t="s">
        <v>42</v>
      </c>
      <c r="D13" s="17" t="s">
        <v>43</v>
      </c>
      <c r="E13" s="1" t="s">
        <v>26</v>
      </c>
      <c r="F13" s="1">
        <v>65</v>
      </c>
      <c r="G13" s="1">
        <v>57</v>
      </c>
      <c r="H13" s="1">
        <v>53</v>
      </c>
      <c r="I13" s="1">
        <v>68</v>
      </c>
      <c r="J13" s="1">
        <v>69</v>
      </c>
      <c r="K13" s="1">
        <v>35</v>
      </c>
      <c r="L13" s="1">
        <v>57</v>
      </c>
      <c r="M13" s="1">
        <v>57</v>
      </c>
      <c r="N13" s="1">
        <v>18</v>
      </c>
      <c r="O13" s="1">
        <v>18</v>
      </c>
      <c r="P13" s="1">
        <v>8</v>
      </c>
      <c r="Q13" s="1">
        <v>7</v>
      </c>
      <c r="R13" s="1">
        <v>17</v>
      </c>
      <c r="S13" s="1">
        <v>18</v>
      </c>
      <c r="T13" s="1">
        <f t="shared" si="0"/>
        <v>547</v>
      </c>
      <c r="U13" s="1">
        <f t="shared" si="1"/>
        <v>75.448275862068968</v>
      </c>
      <c r="V13" s="1" t="str">
        <f t="shared" si="2"/>
        <v>A</v>
      </c>
      <c r="W13" s="1">
        <f>RANK(U13,U$2:U37)</f>
        <v>2</v>
      </c>
      <c r="X13" s="1"/>
    </row>
    <row r="14" spans="1:24" x14ac:dyDescent="0.25">
      <c r="A14" s="7">
        <v>13</v>
      </c>
      <c r="B14" s="7">
        <v>952</v>
      </c>
      <c r="C14" s="17" t="s">
        <v>44</v>
      </c>
      <c r="D14" s="17" t="s">
        <v>45</v>
      </c>
      <c r="E14" s="1" t="s">
        <v>26</v>
      </c>
      <c r="F14" s="1">
        <v>62</v>
      </c>
      <c r="G14" s="1">
        <v>36</v>
      </c>
      <c r="H14" s="1">
        <v>28</v>
      </c>
      <c r="I14" s="1">
        <v>35</v>
      </c>
      <c r="J14" s="1">
        <v>33</v>
      </c>
      <c r="K14" s="1">
        <v>55</v>
      </c>
      <c r="L14" s="1">
        <v>30</v>
      </c>
      <c r="M14" s="1">
        <v>40</v>
      </c>
      <c r="N14" s="1">
        <v>18</v>
      </c>
      <c r="O14" s="1">
        <v>18</v>
      </c>
      <c r="P14" s="1">
        <v>8</v>
      </c>
      <c r="Q14" s="1">
        <v>7</v>
      </c>
      <c r="R14" s="1">
        <v>18</v>
      </c>
      <c r="S14" s="1">
        <v>18</v>
      </c>
      <c r="T14" s="1">
        <f t="shared" si="0"/>
        <v>406</v>
      </c>
      <c r="U14" s="1">
        <f t="shared" si="1"/>
        <v>56.000000000000007</v>
      </c>
      <c r="V14" s="1" t="str">
        <f t="shared" si="2"/>
        <v>C</v>
      </c>
      <c r="W14" s="1">
        <f>RANK(U14,U$2:U38)</f>
        <v>8</v>
      </c>
      <c r="X14" s="1"/>
    </row>
    <row r="15" spans="1:24" x14ac:dyDescent="0.25">
      <c r="A15" s="7">
        <v>14</v>
      </c>
      <c r="B15" s="7">
        <v>953</v>
      </c>
      <c r="C15" s="17" t="s">
        <v>46</v>
      </c>
      <c r="D15" s="17" t="s">
        <v>47</v>
      </c>
      <c r="E15" s="1" t="s">
        <v>26</v>
      </c>
      <c r="F15" s="1">
        <v>30</v>
      </c>
      <c r="G15" s="1">
        <v>27</v>
      </c>
      <c r="H15" s="1">
        <v>27</v>
      </c>
      <c r="I15" s="1">
        <v>26</v>
      </c>
      <c r="J15" s="1">
        <v>40</v>
      </c>
      <c r="K15" s="1">
        <v>27</v>
      </c>
      <c r="L15" s="1">
        <v>27</v>
      </c>
      <c r="M15" s="1">
        <v>30</v>
      </c>
      <c r="N15" s="1">
        <v>11</v>
      </c>
      <c r="O15" s="1">
        <v>10</v>
      </c>
      <c r="P15" s="1">
        <v>5</v>
      </c>
      <c r="Q15" s="1">
        <v>4</v>
      </c>
      <c r="R15" s="1">
        <v>10</v>
      </c>
      <c r="S15" s="1">
        <v>9</v>
      </c>
      <c r="T15" s="1">
        <f t="shared" si="0"/>
        <v>283</v>
      </c>
      <c r="U15" s="1">
        <f t="shared" si="1"/>
        <v>39.03448275862069</v>
      </c>
      <c r="V15" s="1" t="str">
        <f t="shared" si="2"/>
        <v>E</v>
      </c>
      <c r="W15" s="1">
        <f>RANK(U15,U$2:U39)</f>
        <v>15</v>
      </c>
      <c r="X15" s="1"/>
    </row>
    <row r="16" spans="1:24" x14ac:dyDescent="0.25">
      <c r="A16" s="7">
        <v>15</v>
      </c>
      <c r="B16" s="7">
        <v>954</v>
      </c>
      <c r="C16" s="17" t="s">
        <v>48</v>
      </c>
      <c r="D16" s="17" t="s">
        <v>49</v>
      </c>
      <c r="E16" s="1" t="s">
        <v>28</v>
      </c>
      <c r="F16" s="1">
        <v>57</v>
      </c>
      <c r="G16" s="1">
        <v>30</v>
      </c>
      <c r="H16" s="1">
        <v>25</v>
      </c>
      <c r="I16" s="1">
        <v>50</v>
      </c>
      <c r="J16" s="1">
        <v>65</v>
      </c>
      <c r="K16" s="1">
        <v>30</v>
      </c>
      <c r="L16" s="1">
        <v>43</v>
      </c>
      <c r="M16" s="1">
        <v>40</v>
      </c>
      <c r="N16" s="1">
        <v>11</v>
      </c>
      <c r="O16" s="1">
        <v>12</v>
      </c>
      <c r="P16" s="1">
        <v>4</v>
      </c>
      <c r="Q16" s="1">
        <v>6</v>
      </c>
      <c r="R16" s="1">
        <v>15</v>
      </c>
      <c r="S16" s="1">
        <v>10</v>
      </c>
      <c r="T16" s="1">
        <f t="shared" si="0"/>
        <v>398</v>
      </c>
      <c r="U16" s="1">
        <f t="shared" si="1"/>
        <v>54.896551724137929</v>
      </c>
      <c r="V16" s="1" t="str">
        <f t="shared" si="2"/>
        <v>C</v>
      </c>
      <c r="W16" s="1">
        <f>RANK(U16,U$2:U40)</f>
        <v>9</v>
      </c>
      <c r="X16" s="1"/>
    </row>
    <row r="17" spans="1:24" x14ac:dyDescent="0.25">
      <c r="A17" s="7">
        <v>16</v>
      </c>
      <c r="B17" s="7">
        <v>955</v>
      </c>
      <c r="C17" s="17" t="s">
        <v>50</v>
      </c>
      <c r="D17" s="17" t="s">
        <v>51</v>
      </c>
      <c r="E17" s="1" t="s">
        <v>24</v>
      </c>
      <c r="F17" s="1">
        <v>44</v>
      </c>
      <c r="G17" s="1">
        <v>36</v>
      </c>
      <c r="H17" s="1">
        <v>25</v>
      </c>
      <c r="I17" s="1">
        <v>40</v>
      </c>
      <c r="J17" s="1">
        <v>58</v>
      </c>
      <c r="K17" s="1">
        <v>32</v>
      </c>
      <c r="L17" s="1">
        <v>45</v>
      </c>
      <c r="M17" s="1">
        <v>33</v>
      </c>
      <c r="N17" s="1">
        <v>10</v>
      </c>
      <c r="O17" s="1">
        <v>13</v>
      </c>
      <c r="P17" s="1">
        <v>5</v>
      </c>
      <c r="Q17" s="1">
        <v>5</v>
      </c>
      <c r="R17" s="1">
        <v>10</v>
      </c>
      <c r="S17" s="1">
        <v>10</v>
      </c>
      <c r="T17" s="1">
        <f t="shared" si="0"/>
        <v>366</v>
      </c>
      <c r="U17" s="1">
        <f t="shared" si="1"/>
        <v>50.482758620689658</v>
      </c>
      <c r="V17" s="1" t="str">
        <f t="shared" si="2"/>
        <v>C</v>
      </c>
      <c r="W17" s="1">
        <f>RANK(U17,U$2:U41)</f>
        <v>12</v>
      </c>
      <c r="X17" s="1"/>
    </row>
    <row r="18" spans="1:24" x14ac:dyDescent="0.25">
      <c r="A18" s="7">
        <v>17</v>
      </c>
      <c r="B18" s="7">
        <v>956</v>
      </c>
      <c r="C18" s="17" t="s">
        <v>52</v>
      </c>
      <c r="D18" s="17" t="s">
        <v>27</v>
      </c>
      <c r="E18" s="1" t="s">
        <v>26</v>
      </c>
      <c r="F18" s="1">
        <v>50</v>
      </c>
      <c r="G18" s="1">
        <v>45</v>
      </c>
      <c r="H18" s="1">
        <v>36</v>
      </c>
      <c r="I18" s="1">
        <v>66</v>
      </c>
      <c r="J18" s="1">
        <v>60</v>
      </c>
      <c r="K18" s="1">
        <v>45</v>
      </c>
      <c r="L18" s="1">
        <v>50</v>
      </c>
      <c r="M18" s="1">
        <v>50</v>
      </c>
      <c r="N18" s="1">
        <v>18</v>
      </c>
      <c r="O18" s="1">
        <v>18</v>
      </c>
      <c r="P18" s="1">
        <v>8</v>
      </c>
      <c r="Q18" s="1">
        <v>7</v>
      </c>
      <c r="R18" s="1">
        <v>15</v>
      </c>
      <c r="S18" s="1">
        <v>10</v>
      </c>
      <c r="T18" s="1">
        <f t="shared" si="0"/>
        <v>478</v>
      </c>
      <c r="U18" s="1">
        <f t="shared" si="1"/>
        <v>65.931034482758619</v>
      </c>
      <c r="V18" s="1" t="str">
        <f t="shared" si="2"/>
        <v>B</v>
      </c>
      <c r="W18" s="1">
        <f>RANK(U18,U$2:U42)</f>
        <v>4</v>
      </c>
      <c r="X18" s="1"/>
    </row>
    <row r="19" spans="1:24" x14ac:dyDescent="0.25">
      <c r="A19" s="7">
        <v>18</v>
      </c>
      <c r="B19" s="7">
        <v>957</v>
      </c>
      <c r="C19" s="17" t="s">
        <v>53</v>
      </c>
      <c r="D19" s="17" t="s">
        <v>54</v>
      </c>
      <c r="E19" s="1" t="s">
        <v>26</v>
      </c>
      <c r="F19" s="1" t="s">
        <v>83</v>
      </c>
      <c r="G19" s="1" t="s">
        <v>83</v>
      </c>
      <c r="H19" s="1" t="s">
        <v>83</v>
      </c>
      <c r="I19" s="1" t="s">
        <v>83</v>
      </c>
      <c r="J19" s="1" t="s">
        <v>83</v>
      </c>
      <c r="K19" s="1" t="s">
        <v>83</v>
      </c>
      <c r="L19" s="1" t="s">
        <v>83</v>
      </c>
      <c r="M19" s="1" t="s">
        <v>83</v>
      </c>
      <c r="N19" s="1" t="s">
        <v>83</v>
      </c>
      <c r="O19" s="1" t="s">
        <v>83</v>
      </c>
      <c r="P19" s="1" t="s">
        <v>83</v>
      </c>
      <c r="Q19" s="1" t="s">
        <v>83</v>
      </c>
      <c r="R19" s="1" t="s">
        <v>83</v>
      </c>
      <c r="S19" s="1" t="s">
        <v>83</v>
      </c>
      <c r="T19" s="1">
        <f t="shared" si="0"/>
        <v>0</v>
      </c>
      <c r="U19" s="1">
        <f t="shared" si="1"/>
        <v>0</v>
      </c>
      <c r="V19" s="1" t="str">
        <f t="shared" si="2"/>
        <v>FAIL</v>
      </c>
      <c r="W19" s="1">
        <f>RANK(U19,U$2:U43)</f>
        <v>20</v>
      </c>
      <c r="X19" s="1"/>
    </row>
    <row r="20" spans="1:24" x14ac:dyDescent="0.25">
      <c r="A20" s="7">
        <v>19</v>
      </c>
      <c r="B20" s="7">
        <v>958</v>
      </c>
      <c r="C20" s="17" t="s">
        <v>55</v>
      </c>
      <c r="D20" s="17" t="s">
        <v>56</v>
      </c>
      <c r="E20" s="1" t="s">
        <v>26</v>
      </c>
      <c r="F20" s="1" t="s">
        <v>83</v>
      </c>
      <c r="G20" s="1" t="s">
        <v>83</v>
      </c>
      <c r="H20" s="1" t="s">
        <v>83</v>
      </c>
      <c r="I20" s="1" t="s">
        <v>83</v>
      </c>
      <c r="J20" s="1" t="s">
        <v>83</v>
      </c>
      <c r="K20" s="1" t="s">
        <v>83</v>
      </c>
      <c r="L20" s="1" t="s">
        <v>83</v>
      </c>
      <c r="M20" s="1" t="s">
        <v>83</v>
      </c>
      <c r="N20" s="1" t="s">
        <v>83</v>
      </c>
      <c r="O20" s="1" t="s">
        <v>83</v>
      </c>
      <c r="P20" s="1" t="s">
        <v>83</v>
      </c>
      <c r="Q20" s="1" t="s">
        <v>83</v>
      </c>
      <c r="R20" s="1" t="s">
        <v>83</v>
      </c>
      <c r="S20" s="1" t="s">
        <v>83</v>
      </c>
      <c r="T20" s="1">
        <f t="shared" si="0"/>
        <v>0</v>
      </c>
      <c r="U20" s="1">
        <f t="shared" si="1"/>
        <v>0</v>
      </c>
      <c r="V20" s="1" t="str">
        <f t="shared" si="2"/>
        <v>FAIL</v>
      </c>
      <c r="W20" s="1">
        <f>RANK(U20,U$2:U44)</f>
        <v>20</v>
      </c>
      <c r="X20" s="1"/>
    </row>
    <row r="21" spans="1:24" x14ac:dyDescent="0.25">
      <c r="A21" s="7">
        <v>20</v>
      </c>
      <c r="B21" s="7">
        <v>959</v>
      </c>
      <c r="C21" s="17" t="s">
        <v>57</v>
      </c>
      <c r="D21" s="17" t="s">
        <v>58</v>
      </c>
      <c r="E21" s="1" t="s">
        <v>26</v>
      </c>
      <c r="F21" s="1" t="s">
        <v>83</v>
      </c>
      <c r="G21" s="1" t="s">
        <v>83</v>
      </c>
      <c r="H21" s="1" t="s">
        <v>83</v>
      </c>
      <c r="I21" s="1" t="s">
        <v>83</v>
      </c>
      <c r="J21" s="1" t="s">
        <v>83</v>
      </c>
      <c r="K21" s="1" t="s">
        <v>83</v>
      </c>
      <c r="L21" s="1" t="s">
        <v>83</v>
      </c>
      <c r="M21" s="1" t="s">
        <v>83</v>
      </c>
      <c r="N21" s="1" t="s">
        <v>83</v>
      </c>
      <c r="O21" s="1" t="s">
        <v>83</v>
      </c>
      <c r="P21" s="1" t="s">
        <v>83</v>
      </c>
      <c r="Q21" s="1" t="s">
        <v>83</v>
      </c>
      <c r="R21" s="1" t="s">
        <v>83</v>
      </c>
      <c r="S21" s="1" t="s">
        <v>83</v>
      </c>
      <c r="T21" s="1">
        <f t="shared" si="0"/>
        <v>0</v>
      </c>
      <c r="U21" s="1">
        <f t="shared" si="1"/>
        <v>0</v>
      </c>
      <c r="V21" s="1" t="str">
        <f t="shared" si="2"/>
        <v>FAIL</v>
      </c>
      <c r="W21" s="1">
        <f>RANK(U21,U$2:U45)</f>
        <v>20</v>
      </c>
      <c r="X21" s="1"/>
    </row>
    <row r="22" spans="1:24" x14ac:dyDescent="0.25">
      <c r="A22" s="7">
        <v>21</v>
      </c>
      <c r="B22" s="7">
        <v>960</v>
      </c>
      <c r="C22" s="17" t="s">
        <v>59</v>
      </c>
      <c r="D22" s="17" t="s">
        <v>60</v>
      </c>
      <c r="E22" s="1" t="s">
        <v>24</v>
      </c>
      <c r="F22" s="1">
        <v>48</v>
      </c>
      <c r="G22" s="1">
        <v>45</v>
      </c>
      <c r="H22" s="1">
        <v>35</v>
      </c>
      <c r="I22" s="1">
        <v>56</v>
      </c>
      <c r="J22" s="1">
        <v>62</v>
      </c>
      <c r="K22" s="1">
        <v>50</v>
      </c>
      <c r="L22" s="1">
        <v>53</v>
      </c>
      <c r="M22" s="1">
        <v>40</v>
      </c>
      <c r="N22" s="1">
        <v>16</v>
      </c>
      <c r="O22" s="1">
        <v>15</v>
      </c>
      <c r="P22" s="1">
        <v>5</v>
      </c>
      <c r="Q22" s="1">
        <v>7</v>
      </c>
      <c r="R22" s="1">
        <v>16</v>
      </c>
      <c r="S22" s="1">
        <v>18</v>
      </c>
      <c r="T22" s="1">
        <f t="shared" si="0"/>
        <v>466</v>
      </c>
      <c r="U22" s="1">
        <f t="shared" si="1"/>
        <v>64.275862068965523</v>
      </c>
      <c r="V22" s="1" t="str">
        <f t="shared" si="2"/>
        <v>B</v>
      </c>
      <c r="W22" s="1">
        <f>RANK(U22,U$2:U46)</f>
        <v>6</v>
      </c>
      <c r="X22" s="1"/>
    </row>
    <row r="23" spans="1:24" x14ac:dyDescent="0.25">
      <c r="A23" s="7">
        <v>22</v>
      </c>
      <c r="B23" s="7">
        <v>961</v>
      </c>
      <c r="C23" s="17" t="s">
        <v>70</v>
      </c>
      <c r="D23" s="17" t="s">
        <v>71</v>
      </c>
      <c r="E23" s="1" t="s">
        <v>26</v>
      </c>
      <c r="F23" s="1">
        <v>70</v>
      </c>
      <c r="G23" s="1">
        <v>50</v>
      </c>
      <c r="H23" s="1">
        <v>79</v>
      </c>
      <c r="I23" s="1">
        <v>68</v>
      </c>
      <c r="J23" s="1">
        <v>70</v>
      </c>
      <c r="K23" s="1">
        <v>52</v>
      </c>
      <c r="L23" s="1">
        <v>50</v>
      </c>
      <c r="M23" s="1">
        <v>60</v>
      </c>
      <c r="N23" s="1">
        <v>18</v>
      </c>
      <c r="O23" s="1">
        <v>18</v>
      </c>
      <c r="P23" s="1">
        <v>8</v>
      </c>
      <c r="Q23" s="1">
        <v>8</v>
      </c>
      <c r="R23" s="1">
        <v>17</v>
      </c>
      <c r="S23" s="1">
        <v>15</v>
      </c>
      <c r="T23" s="1">
        <f t="shared" si="0"/>
        <v>583</v>
      </c>
      <c r="U23" s="1">
        <f t="shared" si="1"/>
        <v>80.41379310344827</v>
      </c>
      <c r="V23" s="1" t="str">
        <f t="shared" si="2"/>
        <v>A1</v>
      </c>
      <c r="W23" s="1">
        <f>RANK(U23,U$2:U47)</f>
        <v>1</v>
      </c>
      <c r="X23" s="1"/>
    </row>
    <row r="24" spans="1:24" x14ac:dyDescent="0.25">
      <c r="A24" s="7">
        <v>23</v>
      </c>
      <c r="B24" s="7">
        <v>962</v>
      </c>
      <c r="C24" s="17" t="s">
        <v>72</v>
      </c>
      <c r="D24" s="17" t="s">
        <v>73</v>
      </c>
      <c r="E24" s="1" t="s">
        <v>26</v>
      </c>
      <c r="F24" s="1">
        <v>60</v>
      </c>
      <c r="G24" s="1">
        <v>30</v>
      </c>
      <c r="H24" s="1">
        <v>40</v>
      </c>
      <c r="I24" s="1">
        <v>61</v>
      </c>
      <c r="J24" s="1">
        <v>60</v>
      </c>
      <c r="K24" s="1">
        <v>40</v>
      </c>
      <c r="L24" s="1">
        <v>42</v>
      </c>
      <c r="M24" s="1">
        <v>40</v>
      </c>
      <c r="N24" s="1">
        <v>17</v>
      </c>
      <c r="O24" s="1">
        <v>17</v>
      </c>
      <c r="P24" s="1">
        <v>7</v>
      </c>
      <c r="Q24" s="1">
        <v>8</v>
      </c>
      <c r="R24" s="1">
        <v>15</v>
      </c>
      <c r="S24" s="1">
        <v>15</v>
      </c>
      <c r="T24" s="1">
        <f t="shared" si="0"/>
        <v>452</v>
      </c>
      <c r="U24" s="1">
        <f t="shared" si="1"/>
        <v>62.344827586206897</v>
      </c>
      <c r="V24" s="1" t="str">
        <f t="shared" si="2"/>
        <v>B</v>
      </c>
      <c r="W24" s="1">
        <f>RANK(U24,U$2:U48)</f>
        <v>7</v>
      </c>
      <c r="X24" s="1"/>
    </row>
    <row r="25" spans="1:24" x14ac:dyDescent="0.25">
      <c r="A25" s="7">
        <v>24</v>
      </c>
      <c r="B25" s="7">
        <v>963</v>
      </c>
      <c r="C25" s="17" t="s">
        <v>74</v>
      </c>
      <c r="D25" s="17" t="s">
        <v>75</v>
      </c>
      <c r="E25" s="1" t="s">
        <v>26</v>
      </c>
      <c r="F25" s="1" t="s">
        <v>83</v>
      </c>
      <c r="G25" s="1" t="s">
        <v>83</v>
      </c>
      <c r="H25" s="1" t="s">
        <v>83</v>
      </c>
      <c r="I25" s="1" t="s">
        <v>83</v>
      </c>
      <c r="J25" s="1" t="s">
        <v>83</v>
      </c>
      <c r="K25" s="1" t="s">
        <v>83</v>
      </c>
      <c r="L25" s="1" t="s">
        <v>83</v>
      </c>
      <c r="M25" s="1" t="s">
        <v>83</v>
      </c>
      <c r="N25" s="1" t="s">
        <v>83</v>
      </c>
      <c r="O25" s="1" t="s">
        <v>83</v>
      </c>
      <c r="P25" s="1" t="s">
        <v>83</v>
      </c>
      <c r="Q25" s="1" t="s">
        <v>83</v>
      </c>
      <c r="R25" s="1" t="s">
        <v>83</v>
      </c>
      <c r="S25" s="1" t="s">
        <v>83</v>
      </c>
      <c r="T25" s="1">
        <f t="shared" si="0"/>
        <v>0</v>
      </c>
      <c r="U25" s="1">
        <f t="shared" si="1"/>
        <v>0</v>
      </c>
      <c r="V25" s="1" t="str">
        <f t="shared" si="2"/>
        <v>FAIL</v>
      </c>
      <c r="W25" s="1">
        <f>RANK(U25,U$2:U49)</f>
        <v>20</v>
      </c>
      <c r="X25" s="1"/>
    </row>
    <row r="26" spans="1:24" x14ac:dyDescent="0.25">
      <c r="A26" s="7">
        <v>25</v>
      </c>
      <c r="B26" s="7">
        <v>913</v>
      </c>
      <c r="C26" s="17" t="s">
        <v>81</v>
      </c>
      <c r="D26" s="17"/>
      <c r="E26" s="1" t="s">
        <v>82</v>
      </c>
      <c r="F26" s="1">
        <v>32</v>
      </c>
      <c r="G26" s="1">
        <v>27</v>
      </c>
      <c r="H26" s="1">
        <v>27</v>
      </c>
      <c r="I26" s="1">
        <v>25</v>
      </c>
      <c r="J26" s="1">
        <v>35</v>
      </c>
      <c r="K26" s="1">
        <v>27</v>
      </c>
      <c r="L26" s="1">
        <v>27</v>
      </c>
      <c r="M26" s="1"/>
      <c r="N26" s="1">
        <v>12</v>
      </c>
      <c r="O26" s="1">
        <v>10</v>
      </c>
      <c r="P26" s="1">
        <v>5</v>
      </c>
      <c r="Q26" s="1">
        <v>4</v>
      </c>
      <c r="R26" s="1">
        <v>11</v>
      </c>
      <c r="S26" s="1">
        <v>9</v>
      </c>
      <c r="T26" s="1">
        <f t="shared" si="0"/>
        <v>251</v>
      </c>
      <c r="U26" s="1">
        <f t="shared" si="1"/>
        <v>34.620689655172413</v>
      </c>
      <c r="V26" s="1" t="str">
        <f t="shared" si="2"/>
        <v>E</v>
      </c>
      <c r="W26" s="1">
        <f>RANK(U26,U$2:U50)</f>
        <v>17</v>
      </c>
      <c r="X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2026-03-03T08:56:00Z</cp:lastPrinted>
  <dcterms:created xsi:type="dcterms:W3CDTF">2024-05-23T07:14:03Z</dcterms:created>
  <dcterms:modified xsi:type="dcterms:W3CDTF">2026-03-03T08:56:24Z</dcterms:modified>
</cp:coreProperties>
</file>